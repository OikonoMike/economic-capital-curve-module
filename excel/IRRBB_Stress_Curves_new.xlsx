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 activeTab="1"/>
  </bookViews>
  <sheets>
    <sheet name="MOEX" sheetId="1" r:id="rId1"/>
    <sheet name="базова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<sst xmlns="http://schemas.openxmlformats.org/spreadsheetml/2006/main" count="65" uniqueCount="65">
  <si>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Срок, лет</t>
  </si>
  <si>
    <t>Доходность, %</t>
  </si>
  <si>
    <t>№</t>
  </si>
  <si>
    <t>Интервал ЦБ</t>
  </si>
  <si>
    <t>Тенор</t>
  </si>
  <si>
    <t>Тенор, лет</t>
  </si>
  <si>
    <t>T (середина интервала), лет</t>
  </si>
  <si>
    <t>Нижний срок MOEX</t>
  </si>
  <si>
    <t>Нижняя ставка, %</t>
  </si>
  <si>
    <t>Верхний срок MOEX</t>
  </si>
  <si>
    <t>Верхняя ставка, %</t>
  </si>
  <si>
    <t>БС, %</t>
  </si>
  <si>
    <t>Метод</t>
  </si>
  <si>
    <t>Сдвиг вверх, %</t>
  </si>
  <si>
    <t>Сдвиг вниз, %</t>
  </si>
  <si>
    <t>Увеличение наклона, %</t>
  </si>
  <si>
    <t>Уменьшение наклона, %</t>
  </si>
  <si>
    <t>Рост коротких, %</t>
  </si>
  <si>
    <t>Снижение коротких, %</t>
  </si>
  <si>
    <t>Параметры рубля</t>
  </si>
  <si>
    <t>до востребования</t>
  </si>
  <si>
    <t>1d</t>
  </si>
  <si>
    <t>ΔПар</t>
  </si>
  <si>
    <t>не более 1 месяца</t>
  </si>
  <si>
    <t>1m</t>
  </si>
  <si>
    <t>СКС</t>
  </si>
  <si>
    <t>от 1 до 3 месяцев</t>
  </si>
  <si>
    <t>3m</t>
  </si>
  <si>
    <t>СДС</t>
  </si>
  <si>
    <t>от 3 до 6 месяцев</t>
  </si>
  <si>
    <t>6m</t>
  </si>
  <si>
    <t>t</t>
  </si>
  <si>
    <t>от 6 до 9 месяцев</t>
  </si>
  <si>
    <t>9m</t>
  </si>
  <si>
    <t>от 9 до 12 месяцев</t>
  </si>
  <si>
    <t>1y</t>
  </si>
  <si>
    <t>от 1 до 1,5 года</t>
  </si>
  <si>
    <t>1.5y</t>
  </si>
  <si>
    <t>от 1,5 до 2 лет</t>
  </si>
  <si>
    <t>2y</t>
  </si>
  <si>
    <t>от 2 до 3 лет</t>
  </si>
  <si>
    <t>3y</t>
  </si>
  <si>
    <t>от 3 до 4 лет</t>
  </si>
  <si>
    <t>4y</t>
  </si>
  <si>
    <t>от 4 до 5 лет</t>
  </si>
  <si>
    <t>5y</t>
  </si>
  <si>
    <t>от 5 до 6 лет</t>
  </si>
  <si>
    <t>6y</t>
  </si>
  <si>
    <t>от 6 до 7 лет</t>
  </si>
  <si>
    <t>7y</t>
  </si>
  <si>
    <t>от 7 до 8 лет</t>
  </si>
  <si>
    <t>8y</t>
  </si>
  <si>
    <t>от 8 до 9 лет</t>
  </si>
  <si>
    <t>9y</t>
  </si>
  <si>
    <t>от 9 до 10 лет</t>
  </si>
  <si>
    <t>10y</t>
  </si>
  <si>
    <t>от 10 до 15 лет</t>
  </si>
  <si>
    <t>15y</t>
  </si>
  <si>
    <t>от 15 до 20 лет</t>
  </si>
  <si>
    <t>20y</t>
  </si>
  <si>
    <t>свыше 20 лет</t>
  </si>
  <si>
    <t>30y</t>
  </si>
  <si>
    <t>- ближайшее известное значение</t>
  </si>
  <si>
    <t>- интерполяция</t>
  </si>
  <si>
    <t>- экстраполяция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</si>
</sst>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0.000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D5"/>
      </left>
      <right style="thin">
        <color rgb="FFD0D7D5"/>
      </right>
      <top style="thin">
        <color rgb="FFD0D7D5"/>
      </top>
      <bottom style="thin">
        <color rgb="FFD0D7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0" fillId="3" borderId="0" xfId="0" applyFill="1"/>
    <xf numFmtId="49" fontId="0" fillId="0" borderId="0" xfId="0" applyNumberFormat="1"/>
    <xf numFmtId="0" fontId="0" fillId="4" borderId="0" xfId="0" applyFill="1"/>
    <xf numFmtId="0" fontId="0" fillId="0" borderId="0" xfId="0" quotePrefix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3">
    <dxf>
      <fill>
        <patternFill patternType="solid">
          <fgColor rgb="FFC6E0B4"/>
          <bgColor rgb="FFC6E0B4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Базовая кривая vs Сдвиг вниз</a:t>
            </a:r>
          </a:p>
        </c:rich>
      </c:tx>
      <c:layout>
        <c:manualLayout>
          <c:xMode val="edge"/>
          <c:yMode val="edge"/>
          <c:x val="0.345353996857798"/>
          <c:y val="0.023232450081627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базовая!$J$1</c:f>
              <c:strCache>
                <c:ptCount val="1"/>
                <c:pt idx="0">
                  <c:v>БС, %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  <a:sp3d contourW="381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базовая!$J$2:$J$20</c:f>
              <c:numCache>
                <c:formatCode>0.000</c:formatCode>
                <c:ptCount val="19"/>
                <c:pt idx="0">
                  <c:v>13.59</c:v>
                </c:pt>
                <c:pt idx="1">
                  <c:v>13.59</c:v>
                </c:pt>
                <c:pt idx="2">
                  <c:v>13.59</c:v>
                </c:pt>
                <c:pt idx="3">
                  <c:v>13.35</c:v>
                </c:pt>
                <c:pt idx="4">
                  <c:v>13.42</c:v>
                </c:pt>
                <c:pt idx="5">
                  <c:v>13.63</c:v>
                </c:pt>
                <c:pt idx="6">
                  <c:v>14.105</c:v>
                </c:pt>
                <c:pt idx="7">
                  <c:v>14.58</c:v>
                </c:pt>
                <c:pt idx="8">
                  <c:v>15.06</c:v>
                </c:pt>
                <c:pt idx="9">
                  <c:v>15.24</c:v>
                </c:pt>
                <c:pt idx="10">
                  <c:v>15.42</c:v>
                </c:pt>
                <c:pt idx="11">
                  <c:v>15.495</c:v>
                </c:pt>
                <c:pt idx="12">
                  <c:v>15.57</c:v>
                </c:pt>
                <c:pt idx="13">
                  <c:v>15.61</c:v>
                </c:pt>
                <c:pt idx="14">
                  <c:v>15.65</c:v>
                </c:pt>
                <c:pt idx="15">
                  <c:v>15.69</c:v>
                </c:pt>
                <c:pt idx="16">
                  <c:v>15.84</c:v>
                </c:pt>
                <c:pt idx="17">
                  <c:v>15.95</c:v>
                </c:pt>
                <c:pt idx="18">
                  <c:v>16.17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базовая!$M$1</c:f>
              <c:strCache>
                <c:ptCount val="1"/>
                <c:pt idx="0">
                  <c:v>Сдвиг вниз, %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базовая!$M$2:$M$20</c:f>
              <c:numCache>
                <c:formatCode>0.000</c:formatCode>
                <c:ptCount val="19"/>
                <c:pt idx="0">
                  <c:v>9.59</c:v>
                </c:pt>
                <c:pt idx="1">
                  <c:v>9.59</c:v>
                </c:pt>
                <c:pt idx="2">
                  <c:v>9.59</c:v>
                </c:pt>
                <c:pt idx="3">
                  <c:v>9.35</c:v>
                </c:pt>
                <c:pt idx="4">
                  <c:v>9.42</c:v>
                </c:pt>
                <c:pt idx="5">
                  <c:v>9.63</c:v>
                </c:pt>
                <c:pt idx="6">
                  <c:v>10.105</c:v>
                </c:pt>
                <c:pt idx="7">
                  <c:v>10.58</c:v>
                </c:pt>
                <c:pt idx="8">
                  <c:v>11.06</c:v>
                </c:pt>
                <c:pt idx="9">
                  <c:v>11.24</c:v>
                </c:pt>
                <c:pt idx="10">
                  <c:v>11.42</c:v>
                </c:pt>
                <c:pt idx="11">
                  <c:v>11.495</c:v>
                </c:pt>
                <c:pt idx="12">
                  <c:v>11.57</c:v>
                </c:pt>
                <c:pt idx="13">
                  <c:v>11.61</c:v>
                </c:pt>
                <c:pt idx="14">
                  <c:v>11.65</c:v>
                </c:pt>
                <c:pt idx="15">
                  <c:v>11.69</c:v>
                </c:pt>
                <c:pt idx="16">
                  <c:v>11.84</c:v>
                </c:pt>
                <c:pt idx="17">
                  <c:v>11.95</c:v>
                </c:pt>
                <c:pt idx="18">
                  <c:v>12.17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53472089"/>
        <c:axId val="302165558"/>
      </c:lineChart>
      <c:catAx>
        <c:axId val="55347208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Срок (Тенор)</a:t>
                </a:r>
              </a:p>
            </c:rich>
          </c:tx>
          <c:layout>
            <c:manualLayout>
              <c:xMode val="edge"/>
              <c:yMode val="edge"/>
              <c:x val="0.459208917645507"/>
              <c:y val="0.92111828593305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2165558"/>
        <c:crosses val="autoZero"/>
        <c:auto val="1"/>
        <c:lblAlgn val="ctr"/>
        <c:lblOffset val="100"/>
        <c:noMultiLvlLbl val="0"/>
      </c:catAx>
      <c:valAx>
        <c:axId val="302165558"/>
        <c:scaling>
          <c:orientation val="minMax"/>
          <c:max val="21"/>
          <c:min val="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Ставка, % годовых</a:t>
                </a:r>
              </a:p>
            </c:rich>
          </c:tx>
          <c:layout>
            <c:manualLayout>
              <c:xMode val="edge"/>
              <c:yMode val="edge"/>
              <c:x val="0.0147034528333058"/>
              <c:y val="0.3583239242253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34720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0fbe75-09f0-422d-8f86-c42e99fefe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Базовая кривая vs Увеличение наклона</a:t>
            </a:r>
          </a:p>
        </c:rich>
      </c:tx>
      <c:layout>
        <c:manualLayout>
          <c:xMode val="edge"/>
          <c:yMode val="edge"/>
          <c:x val="0.310998546980178"/>
          <c:y val="0.023235842878111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базовая!$J$1</c:f>
              <c:strCache>
                <c:ptCount val="1"/>
                <c:pt idx="0">
                  <c:v>БС, %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  <a:sp3d contourW="381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базовая!$J$2:$J$20</c:f>
              <c:numCache>
                <c:formatCode>0.000</c:formatCode>
                <c:ptCount val="19"/>
                <c:pt idx="0">
                  <c:v>13.59</c:v>
                </c:pt>
                <c:pt idx="1">
                  <c:v>13.59</c:v>
                </c:pt>
                <c:pt idx="2">
                  <c:v>13.59</c:v>
                </c:pt>
                <c:pt idx="3">
                  <c:v>13.35</c:v>
                </c:pt>
                <c:pt idx="4">
                  <c:v>13.42</c:v>
                </c:pt>
                <c:pt idx="5">
                  <c:v>13.63</c:v>
                </c:pt>
                <c:pt idx="6">
                  <c:v>14.105</c:v>
                </c:pt>
                <c:pt idx="7">
                  <c:v>14.58</c:v>
                </c:pt>
                <c:pt idx="8">
                  <c:v>15.06</c:v>
                </c:pt>
                <c:pt idx="9">
                  <c:v>15.24</c:v>
                </c:pt>
                <c:pt idx="10">
                  <c:v>15.42</c:v>
                </c:pt>
                <c:pt idx="11">
                  <c:v>15.495</c:v>
                </c:pt>
                <c:pt idx="12">
                  <c:v>15.57</c:v>
                </c:pt>
                <c:pt idx="13">
                  <c:v>15.61</c:v>
                </c:pt>
                <c:pt idx="14">
                  <c:v>15.65</c:v>
                </c:pt>
                <c:pt idx="15">
                  <c:v>15.69</c:v>
                </c:pt>
                <c:pt idx="16">
                  <c:v>15.84</c:v>
                </c:pt>
                <c:pt idx="17">
                  <c:v>15.95</c:v>
                </c:pt>
                <c:pt idx="18">
                  <c:v>16.17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базовая!$N$1</c:f>
              <c:strCache>
                <c:ptCount val="1"/>
                <c:pt idx="0">
                  <c:v>Увеличение наклона, %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базовая!$N$2:$N$20</c:f>
              <c:numCache>
                <c:formatCode>0.000</c:formatCode>
                <c:ptCount val="19"/>
                <c:pt idx="0">
                  <c:v>10.3441635425901</c:v>
                </c:pt>
                <c:pt idx="1">
                  <c:v>10.4017065457723</c:v>
                </c:pt>
                <c:pt idx="2">
                  <c:v>10.582870289813</c:v>
                </c:pt>
                <c:pt idx="3">
                  <c:v>10.6324633497888</c:v>
                </c:pt>
                <c:pt idx="4">
                  <c:v>11.0306953025208</c:v>
                </c:pt>
                <c:pt idx="5">
                  <c:v>11.5490406865501</c:v>
                </c:pt>
                <c:pt idx="6">
                  <c:v>12.4518870077675</c:v>
                </c:pt>
                <c:pt idx="7">
                  <c:v>13.438391267754</c:v>
                </c:pt>
                <c:pt idx="8">
                  <c:v>14.575194500312</c:v>
                </c:pt>
                <c:pt idx="9">
                  <c:v>15.4596709829129</c:v>
                </c:pt>
                <c:pt idx="10">
                  <c:v>16.1883178192178</c:v>
                </c:pt>
                <c:pt idx="11">
                  <c:v>16.6906044049618</c:v>
                </c:pt>
                <c:pt idx="12">
                  <c:v>17.098375532535</c:v>
                </c:pt>
                <c:pt idx="13">
                  <c:v>17.3975379472727</c:v>
                </c:pt>
                <c:pt idx="14">
                  <c:v>17.639373838813</c:v>
                </c:pt>
                <c:pt idx="15">
                  <c:v>17.8365637891966</c:v>
                </c:pt>
                <c:pt idx="16">
                  <c:v>18.2785752449407</c:v>
                </c:pt>
                <c:pt idx="17">
                  <c:v>18.5751005536575</c:v>
                </c:pt>
                <c:pt idx="18">
                  <c:v>18.8585137978894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53472089"/>
        <c:axId val="302165558"/>
      </c:lineChart>
      <c:catAx>
        <c:axId val="55347208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Срок (Тенор)</a:t>
                </a:r>
              </a:p>
            </c:rich>
          </c:tx>
          <c:layout>
            <c:manualLayout>
              <c:xMode val="edge"/>
              <c:yMode val="edge"/>
              <c:x val="0.460502334596868"/>
              <c:y val="0.92165640204778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2165558"/>
        <c:crosses val="autoZero"/>
        <c:auto val="1"/>
        <c:lblAlgn val="ctr"/>
        <c:lblOffset val="100"/>
        <c:noMultiLvlLbl val="0"/>
      </c:catAx>
      <c:valAx>
        <c:axId val="302165558"/>
        <c:scaling>
          <c:orientation val="minMax"/>
          <c:max val="21"/>
          <c:min val="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Ставка, % годовых</a:t>
                </a:r>
              </a:p>
            </c:rich>
          </c:tx>
          <c:layout>
            <c:manualLayout>
              <c:xMode val="edge"/>
              <c:yMode val="edge"/>
              <c:x val="0.0147034528333058"/>
              <c:y val="0.3583239242253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34720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0fbe75-09f0-422d-8f86-c42e99fefe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Базовая кривая vs Уменьшение наклона</a:t>
            </a:r>
          </a:p>
        </c:rich>
      </c:tx>
      <c:layout>
        <c:manualLayout>
          <c:xMode val="edge"/>
          <c:yMode val="edge"/>
          <c:x val="0.310998546980178"/>
          <c:y val="0.023235842878111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базовая!$J$1</c:f>
              <c:strCache>
                <c:ptCount val="1"/>
                <c:pt idx="0">
                  <c:v>БС, %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  <a:sp3d contourW="381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базовая!$J$2:$J$20</c:f>
              <c:numCache>
                <c:formatCode>0.000</c:formatCode>
                <c:ptCount val="19"/>
                <c:pt idx="0">
                  <c:v>13.59</c:v>
                </c:pt>
                <c:pt idx="1">
                  <c:v>13.59</c:v>
                </c:pt>
                <c:pt idx="2">
                  <c:v>13.59</c:v>
                </c:pt>
                <c:pt idx="3">
                  <c:v>13.35</c:v>
                </c:pt>
                <c:pt idx="4">
                  <c:v>13.42</c:v>
                </c:pt>
                <c:pt idx="5">
                  <c:v>13.63</c:v>
                </c:pt>
                <c:pt idx="6">
                  <c:v>14.105</c:v>
                </c:pt>
                <c:pt idx="7">
                  <c:v>14.58</c:v>
                </c:pt>
                <c:pt idx="8">
                  <c:v>15.06</c:v>
                </c:pt>
                <c:pt idx="9">
                  <c:v>15.24</c:v>
                </c:pt>
                <c:pt idx="10">
                  <c:v>15.42</c:v>
                </c:pt>
                <c:pt idx="11">
                  <c:v>15.495</c:v>
                </c:pt>
                <c:pt idx="12">
                  <c:v>15.57</c:v>
                </c:pt>
                <c:pt idx="13">
                  <c:v>15.61</c:v>
                </c:pt>
                <c:pt idx="14">
                  <c:v>15.65</c:v>
                </c:pt>
                <c:pt idx="15">
                  <c:v>15.69</c:v>
                </c:pt>
                <c:pt idx="16">
                  <c:v>15.84</c:v>
                </c:pt>
                <c:pt idx="17">
                  <c:v>15.95</c:v>
                </c:pt>
                <c:pt idx="18">
                  <c:v>16.17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базовая!$O$1</c:f>
              <c:strCache>
                <c:ptCount val="1"/>
                <c:pt idx="0">
                  <c:v>Уменьшение наклона, %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базовая!$O$2:$O$20</c:f>
              <c:numCache>
                <c:formatCode>0.000</c:formatCode>
                <c:ptCount val="19"/>
                <c:pt idx="0">
                  <c:v>17.5859414206685</c:v>
                </c:pt>
                <c:pt idx="1">
                  <c:v>17.529849081432</c:v>
                </c:pt>
                <c:pt idx="2">
                  <c:v>17.3532524906024</c:v>
                </c:pt>
                <c:pt idx="3">
                  <c:v>16.8309600960042</c:v>
                </c:pt>
                <c:pt idx="4">
                  <c:v>16.5810028983831</c:v>
                </c:pt>
                <c:pt idx="5">
                  <c:v>16.4904309273966</c:v>
                </c:pt>
                <c:pt idx="6">
                  <c:v>16.5483706478905</c:v>
                </c:pt>
                <c:pt idx="7">
                  <c:v>16.5247614532818</c:v>
                </c:pt>
                <c:pt idx="8">
                  <c:v>16.3645162854101</c:v>
                </c:pt>
                <c:pt idx="9">
                  <c:v>15.8577997141353</c:v>
                </c:pt>
                <c:pt idx="10">
                  <c:v>15.5029843106784</c:v>
                </c:pt>
                <c:pt idx="11">
                  <c:v>15.1614696556675</c:v>
                </c:pt>
                <c:pt idx="12">
                  <c:v>14.9120877161843</c:v>
                </c:pt>
                <c:pt idx="13">
                  <c:v>14.6994588077006</c:v>
                </c:pt>
                <c:pt idx="14">
                  <c:v>14.542711215947</c:v>
                </c:pt>
                <c:pt idx="15">
                  <c:v>14.4294840374218</c:v>
                </c:pt>
                <c:pt idx="16">
                  <c:v>14.2948342150158</c:v>
                </c:pt>
                <c:pt idx="17">
                  <c:v>14.2230112250061</c:v>
                </c:pt>
                <c:pt idx="18">
                  <c:v>14.3811966339901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53472089"/>
        <c:axId val="302165558"/>
      </c:lineChart>
      <c:catAx>
        <c:axId val="55347208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Срок (Тенор)</a:t>
                </a:r>
              </a:p>
            </c:rich>
          </c:tx>
          <c:layout>
            <c:manualLayout>
              <c:xMode val="edge"/>
              <c:yMode val="edge"/>
              <c:x val="0.459777015128433"/>
              <c:y val="0.92023556918361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2165558"/>
        <c:crosses val="autoZero"/>
        <c:auto val="1"/>
        <c:lblAlgn val="ctr"/>
        <c:lblOffset val="100"/>
        <c:noMultiLvlLbl val="0"/>
      </c:catAx>
      <c:valAx>
        <c:axId val="302165558"/>
        <c:scaling>
          <c:orientation val="minMax"/>
          <c:max val="21"/>
          <c:min val="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Ставка, % годовых</a:t>
                </a:r>
              </a:p>
            </c:rich>
          </c:tx>
          <c:layout>
            <c:manualLayout>
              <c:xMode val="edge"/>
              <c:yMode val="edge"/>
              <c:x val="0.0147034528333058"/>
              <c:y val="0.3583239242253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34720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0fbe75-09f0-422d-8f86-c42e99fefe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Базовая кривая vs Сдвиг вверх</a:t>
            </a:r>
          </a:p>
        </c:rich>
      </c:tx>
      <c:layout>
        <c:manualLayout>
          <c:xMode val="edge"/>
          <c:yMode val="edge"/>
          <c:x val="0.370858057283612"/>
          <c:y val="0.01849299845740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0366831717693"/>
          <c:y val="0.0797969543147208"/>
          <c:w val="0.924290396819862"/>
          <c:h val="0.784609137055838"/>
        </c:manualLayout>
      </c:layout>
      <c:lineChart>
        <c:grouping val="standard"/>
        <c:varyColors val="0"/>
        <c:ser>
          <c:idx val="0"/>
          <c:order val="0"/>
          <c:tx>
            <c:strRef>
              <c:f>базовая!$J$1</c:f>
              <c:strCache>
                <c:ptCount val="1"/>
                <c:pt idx="0">
                  <c:v>БС, %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  <a:sp3d contourW="381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базовая!$J$2:$J$20</c:f>
              <c:numCache>
                <c:formatCode>0.000</c:formatCode>
                <c:ptCount val="19"/>
                <c:pt idx="0">
                  <c:v>13.59</c:v>
                </c:pt>
                <c:pt idx="1">
                  <c:v>13.59</c:v>
                </c:pt>
                <c:pt idx="2">
                  <c:v>13.59</c:v>
                </c:pt>
                <c:pt idx="3">
                  <c:v>13.35</c:v>
                </c:pt>
                <c:pt idx="4">
                  <c:v>13.42</c:v>
                </c:pt>
                <c:pt idx="5">
                  <c:v>13.63</c:v>
                </c:pt>
                <c:pt idx="6">
                  <c:v>14.105</c:v>
                </c:pt>
                <c:pt idx="7">
                  <c:v>14.58</c:v>
                </c:pt>
                <c:pt idx="8">
                  <c:v>15.06</c:v>
                </c:pt>
                <c:pt idx="9">
                  <c:v>15.24</c:v>
                </c:pt>
                <c:pt idx="10">
                  <c:v>15.42</c:v>
                </c:pt>
                <c:pt idx="11">
                  <c:v>15.495</c:v>
                </c:pt>
                <c:pt idx="12">
                  <c:v>15.57</c:v>
                </c:pt>
                <c:pt idx="13">
                  <c:v>15.61</c:v>
                </c:pt>
                <c:pt idx="14">
                  <c:v>15.65</c:v>
                </c:pt>
                <c:pt idx="15">
                  <c:v>15.69</c:v>
                </c:pt>
                <c:pt idx="16">
                  <c:v>15.84</c:v>
                </c:pt>
                <c:pt idx="17">
                  <c:v>15.95</c:v>
                </c:pt>
                <c:pt idx="18">
                  <c:v>16.17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базовая!$L$1</c:f>
              <c:strCache>
                <c:ptCount val="1"/>
                <c:pt idx="0">
                  <c:v>Сдвиг вверх, %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базовая!$L$2:$L$20</c:f>
              <c:numCache>
                <c:formatCode>0.000</c:formatCode>
                <c:ptCount val="19"/>
                <c:pt idx="0">
                  <c:v>17.59</c:v>
                </c:pt>
                <c:pt idx="1">
                  <c:v>17.59</c:v>
                </c:pt>
                <c:pt idx="2">
                  <c:v>17.59</c:v>
                </c:pt>
                <c:pt idx="3">
                  <c:v>17.35</c:v>
                </c:pt>
                <c:pt idx="4">
                  <c:v>17.42</c:v>
                </c:pt>
                <c:pt idx="5">
                  <c:v>17.63</c:v>
                </c:pt>
                <c:pt idx="6">
                  <c:v>18.105</c:v>
                </c:pt>
                <c:pt idx="7">
                  <c:v>18.58</c:v>
                </c:pt>
                <c:pt idx="8">
                  <c:v>19.06</c:v>
                </c:pt>
                <c:pt idx="9">
                  <c:v>19.24</c:v>
                </c:pt>
                <c:pt idx="10">
                  <c:v>19.42</c:v>
                </c:pt>
                <c:pt idx="11">
                  <c:v>19.495</c:v>
                </c:pt>
                <c:pt idx="12">
                  <c:v>19.57</c:v>
                </c:pt>
                <c:pt idx="13">
                  <c:v>19.61</c:v>
                </c:pt>
                <c:pt idx="14">
                  <c:v>19.65</c:v>
                </c:pt>
                <c:pt idx="15">
                  <c:v>19.69</c:v>
                </c:pt>
                <c:pt idx="16">
                  <c:v>19.84</c:v>
                </c:pt>
                <c:pt idx="17">
                  <c:v>19.95</c:v>
                </c:pt>
                <c:pt idx="18">
                  <c:v>20.17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53472089"/>
        <c:axId val="302165558"/>
      </c:lineChart>
      <c:catAx>
        <c:axId val="55347208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Срок (Тенор)</a:t>
                </a:r>
              </a:p>
            </c:rich>
          </c:tx>
          <c:layout>
            <c:manualLayout>
              <c:xMode val="edge"/>
              <c:yMode val="edge"/>
              <c:x val="0.459943535587776"/>
              <c:y val="0.92232147077258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2165558"/>
        <c:crosses val="autoZero"/>
        <c:auto val="1"/>
        <c:lblAlgn val="ctr"/>
        <c:lblOffset val="100"/>
        <c:noMultiLvlLbl val="0"/>
      </c:catAx>
      <c:valAx>
        <c:axId val="302165558"/>
        <c:scaling>
          <c:orientation val="minMax"/>
          <c:max val="21"/>
          <c:min val="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Ставка, % годовых</a:t>
                </a:r>
              </a:p>
            </c:rich>
          </c:tx>
          <c:layout>
            <c:manualLayout>
              <c:xMode val="edge"/>
              <c:yMode val="edge"/>
              <c:x val="0.0147034528333058"/>
              <c:y val="0.3583239242253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34720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e40cd2-d9a9-491c-a606-3a5fb640e41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Базовая кривая vs Рост коротких</a:t>
            </a:r>
          </a:p>
        </c:rich>
      </c:tx>
      <c:layout>
        <c:manualLayout>
          <c:xMode val="edge"/>
          <c:yMode val="edge"/>
          <c:x val="0.360974813339438"/>
          <c:y val="0.01831828430131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базовая!$J$1</c:f>
              <c:strCache>
                <c:ptCount val="1"/>
                <c:pt idx="0">
                  <c:v>БС, %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  <a:sp3d contourW="381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базовая!$J$2:$J$20</c:f>
              <c:numCache>
                <c:formatCode>0.000</c:formatCode>
                <c:ptCount val="19"/>
                <c:pt idx="0">
                  <c:v>13.59</c:v>
                </c:pt>
                <c:pt idx="1">
                  <c:v>13.59</c:v>
                </c:pt>
                <c:pt idx="2">
                  <c:v>13.59</c:v>
                </c:pt>
                <c:pt idx="3">
                  <c:v>13.35</c:v>
                </c:pt>
                <c:pt idx="4">
                  <c:v>13.42</c:v>
                </c:pt>
                <c:pt idx="5">
                  <c:v>13.63</c:v>
                </c:pt>
                <c:pt idx="6">
                  <c:v>14.105</c:v>
                </c:pt>
                <c:pt idx="7">
                  <c:v>14.58</c:v>
                </c:pt>
                <c:pt idx="8">
                  <c:v>15.06</c:v>
                </c:pt>
                <c:pt idx="9">
                  <c:v>15.24</c:v>
                </c:pt>
                <c:pt idx="10">
                  <c:v>15.42</c:v>
                </c:pt>
                <c:pt idx="11">
                  <c:v>15.495</c:v>
                </c:pt>
                <c:pt idx="12">
                  <c:v>15.57</c:v>
                </c:pt>
                <c:pt idx="13">
                  <c:v>15.61</c:v>
                </c:pt>
                <c:pt idx="14">
                  <c:v>15.65</c:v>
                </c:pt>
                <c:pt idx="15">
                  <c:v>15.69</c:v>
                </c:pt>
                <c:pt idx="16">
                  <c:v>15.84</c:v>
                </c:pt>
                <c:pt idx="17">
                  <c:v>15.95</c:v>
                </c:pt>
                <c:pt idx="18">
                  <c:v>16.17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базовая!$P$1</c:f>
              <c:strCache>
                <c:ptCount val="1"/>
                <c:pt idx="0">
                  <c:v>Рост коротких, %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базовая!$P$2:$P$20</c:f>
              <c:numCache>
                <c:formatCode>0.000</c:formatCode>
                <c:ptCount val="19"/>
                <c:pt idx="0">
                  <c:v>18.5865012247142</c:v>
                </c:pt>
                <c:pt idx="1">
                  <c:v>18.5381457598552</c:v>
                </c:pt>
                <c:pt idx="2">
                  <c:v>18.3859073194848</c:v>
                </c:pt>
                <c:pt idx="3">
                  <c:v>17.9025518069002</c:v>
                </c:pt>
                <c:pt idx="4">
                  <c:v>17.6967266365371</c:v>
                </c:pt>
                <c:pt idx="5">
                  <c:v>17.6476128684453</c:v>
                </c:pt>
                <c:pt idx="6">
                  <c:v>17.7630781447332</c:v>
                </c:pt>
                <c:pt idx="7">
                  <c:v>17.8082426321395</c:v>
                </c:pt>
                <c:pt idx="8">
                  <c:v>17.736307142595</c:v>
                </c:pt>
                <c:pt idx="9">
                  <c:v>17.3243100983925</c:v>
                </c:pt>
                <c:pt idx="10">
                  <c:v>17.0432623367917</c:v>
                </c:pt>
                <c:pt idx="11">
                  <c:v>16.7591979790237</c:v>
                </c:pt>
                <c:pt idx="12">
                  <c:v>16.554558376021</c:v>
                </c:pt>
                <c:pt idx="13">
                  <c:v>16.3767748342246</c:v>
                </c:pt>
                <c:pt idx="14">
                  <c:v>16.2471648413336</c:v>
                </c:pt>
                <c:pt idx="15">
                  <c:v>16.1550724460533</c:v>
                </c:pt>
                <c:pt idx="16">
                  <c:v>16.059684668117</c:v>
                </c:pt>
                <c:pt idx="17">
                  <c:v>16.0129407112122</c:v>
                </c:pt>
                <c:pt idx="18">
                  <c:v>16.1796522706811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53472089"/>
        <c:axId val="302165558"/>
      </c:lineChart>
      <c:catAx>
        <c:axId val="55347208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Срок (Тенор)</a:t>
                </a:r>
              </a:p>
            </c:rich>
          </c:tx>
          <c:layout>
            <c:manualLayout>
              <c:xMode val="edge"/>
              <c:yMode val="edge"/>
              <c:x val="0.462807888268801"/>
              <c:y val="0.92011363857270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2165558"/>
        <c:crosses val="autoZero"/>
        <c:auto val="1"/>
        <c:lblAlgn val="ctr"/>
        <c:lblOffset val="100"/>
        <c:noMultiLvlLbl val="0"/>
      </c:catAx>
      <c:valAx>
        <c:axId val="302165558"/>
        <c:scaling>
          <c:orientation val="minMax"/>
          <c:max val="21"/>
          <c:min val="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Ставка, % годовых</a:t>
                </a:r>
              </a:p>
            </c:rich>
          </c:tx>
          <c:layout>
            <c:manualLayout>
              <c:xMode val="edge"/>
              <c:yMode val="edge"/>
              <c:x val="0.0147034528333058"/>
              <c:y val="0.3583239242253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34720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0fbe75-09f0-422d-8f86-c42e99fefe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Базовая кривая vs Снижение коротких</a:t>
            </a:r>
          </a:p>
        </c:rich>
      </c:tx>
      <c:layout>
        <c:manualLayout>
          <c:xMode val="edge"/>
          <c:yMode val="edge"/>
          <c:x val="0.346243509578736"/>
          <c:y val="0.0187777489609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базовая!$J$1</c:f>
              <c:strCache>
                <c:ptCount val="1"/>
                <c:pt idx="0">
                  <c:v>БС, %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  <a:sp3d contourW="381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базовая!$J$2:$J$20</c:f>
              <c:numCache>
                <c:formatCode>0.000</c:formatCode>
                <c:ptCount val="19"/>
                <c:pt idx="0">
                  <c:v>13.59</c:v>
                </c:pt>
                <c:pt idx="1">
                  <c:v>13.59</c:v>
                </c:pt>
                <c:pt idx="2">
                  <c:v>13.59</c:v>
                </c:pt>
                <c:pt idx="3">
                  <c:v>13.35</c:v>
                </c:pt>
                <c:pt idx="4">
                  <c:v>13.42</c:v>
                </c:pt>
                <c:pt idx="5">
                  <c:v>13.63</c:v>
                </c:pt>
                <c:pt idx="6">
                  <c:v>14.105</c:v>
                </c:pt>
                <c:pt idx="7">
                  <c:v>14.58</c:v>
                </c:pt>
                <c:pt idx="8">
                  <c:v>15.06</c:v>
                </c:pt>
                <c:pt idx="9">
                  <c:v>15.24</c:v>
                </c:pt>
                <c:pt idx="10">
                  <c:v>15.42</c:v>
                </c:pt>
                <c:pt idx="11">
                  <c:v>15.495</c:v>
                </c:pt>
                <c:pt idx="12">
                  <c:v>15.57</c:v>
                </c:pt>
                <c:pt idx="13">
                  <c:v>15.61</c:v>
                </c:pt>
                <c:pt idx="14">
                  <c:v>15.65</c:v>
                </c:pt>
                <c:pt idx="15">
                  <c:v>15.69</c:v>
                </c:pt>
                <c:pt idx="16">
                  <c:v>15.84</c:v>
                </c:pt>
                <c:pt idx="17">
                  <c:v>15.95</c:v>
                </c:pt>
                <c:pt idx="18">
                  <c:v>16.17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базовая!$Q$1</c:f>
              <c:strCache>
                <c:ptCount val="1"/>
                <c:pt idx="0">
                  <c:v>Снижение коротких, %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базовая!$Q$2:$Q$20</c:f>
              <c:numCache>
                <c:formatCode>0.000</c:formatCode>
                <c:ptCount val="19"/>
                <c:pt idx="0">
                  <c:v>8.59349877528578</c:v>
                </c:pt>
                <c:pt idx="1">
                  <c:v>8.64185424014483</c:v>
                </c:pt>
                <c:pt idx="2">
                  <c:v>8.79409268051516</c:v>
                </c:pt>
                <c:pt idx="3">
                  <c:v>8.79744819309983</c:v>
                </c:pt>
                <c:pt idx="4">
                  <c:v>9.14327336346289</c:v>
                </c:pt>
                <c:pt idx="5">
                  <c:v>9.6123871315547</c:v>
                </c:pt>
                <c:pt idx="6">
                  <c:v>10.4469218552668</c:v>
                </c:pt>
                <c:pt idx="7">
                  <c:v>11.3517573678605</c:v>
                </c:pt>
                <c:pt idx="8">
                  <c:v>12.383692857405</c:v>
                </c:pt>
                <c:pt idx="9">
                  <c:v>13.1556899016075</c:v>
                </c:pt>
                <c:pt idx="10">
                  <c:v>13.7967376632083</c:v>
                </c:pt>
                <c:pt idx="11">
                  <c:v>14.2308020209763</c:v>
                </c:pt>
                <c:pt idx="12">
                  <c:v>14.585441623979</c:v>
                </c:pt>
                <c:pt idx="13">
                  <c:v>14.8432251657754</c:v>
                </c:pt>
                <c:pt idx="14">
                  <c:v>15.0528351586664</c:v>
                </c:pt>
                <c:pt idx="15">
                  <c:v>15.2249275539467</c:v>
                </c:pt>
                <c:pt idx="16">
                  <c:v>15.620315331883</c:v>
                </c:pt>
                <c:pt idx="17">
                  <c:v>15.8870592887878</c:v>
                </c:pt>
                <c:pt idx="18">
                  <c:v>16.1603477293189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53472089"/>
        <c:axId val="302165558"/>
      </c:lineChart>
      <c:catAx>
        <c:axId val="55347208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Срок (Тенор)</a:t>
                </a:r>
              </a:p>
            </c:rich>
          </c:tx>
          <c:layout>
            <c:manualLayout>
              <c:xMode val="edge"/>
              <c:yMode val="edge"/>
              <c:x val="0.460195077448078"/>
              <c:y val="0.92165640204778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2165558"/>
        <c:crosses val="autoZero"/>
        <c:auto val="1"/>
        <c:lblAlgn val="ctr"/>
        <c:lblOffset val="100"/>
        <c:noMultiLvlLbl val="0"/>
      </c:catAx>
      <c:valAx>
        <c:axId val="302165558"/>
        <c:scaling>
          <c:orientation val="minMax"/>
          <c:max val="21"/>
          <c:min val="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Ставка, % годовых</a:t>
                </a:r>
              </a:p>
            </c:rich>
          </c:tx>
          <c:layout>
            <c:manualLayout>
              <c:xMode val="edge"/>
              <c:yMode val="edge"/>
              <c:x val="0.0147034528333058"/>
              <c:y val="0.3583239242253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34720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0fbe75-09f0-422d-8f86-c42e99fefe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Базовая кривая vs 6 сдвигов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78914656151841"/>
          <c:y val="0.0737349397590361"/>
          <c:w val="0.937405600481187"/>
          <c:h val="0.817387951807229"/>
        </c:manualLayout>
      </c:layout>
      <c:lineChart>
        <c:grouping val="standard"/>
        <c:varyColors val="0"/>
        <c:ser>
          <c:idx val="0"/>
          <c:order val="0"/>
          <c:tx>
            <c:strRef>
              <c:f>базовая!$J$1</c:f>
              <c:strCache>
                <c:ptCount val="1"/>
                <c:pt idx="0">
                  <c:v>БС, %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  <a:sp3d contourW="381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базовая!$J$2:$J$20</c:f>
              <c:numCache>
                <c:formatCode>0.000</c:formatCode>
                <c:ptCount val="19"/>
                <c:pt idx="0">
                  <c:v>13.59</c:v>
                </c:pt>
                <c:pt idx="1">
                  <c:v>13.59</c:v>
                </c:pt>
                <c:pt idx="2">
                  <c:v>13.59</c:v>
                </c:pt>
                <c:pt idx="3">
                  <c:v>13.35</c:v>
                </c:pt>
                <c:pt idx="4">
                  <c:v>13.42</c:v>
                </c:pt>
                <c:pt idx="5">
                  <c:v>13.63</c:v>
                </c:pt>
                <c:pt idx="6">
                  <c:v>14.105</c:v>
                </c:pt>
                <c:pt idx="7">
                  <c:v>14.58</c:v>
                </c:pt>
                <c:pt idx="8">
                  <c:v>15.06</c:v>
                </c:pt>
                <c:pt idx="9">
                  <c:v>15.24</c:v>
                </c:pt>
                <c:pt idx="10">
                  <c:v>15.42</c:v>
                </c:pt>
                <c:pt idx="11">
                  <c:v>15.495</c:v>
                </c:pt>
                <c:pt idx="12">
                  <c:v>15.57</c:v>
                </c:pt>
                <c:pt idx="13">
                  <c:v>15.61</c:v>
                </c:pt>
                <c:pt idx="14">
                  <c:v>15.65</c:v>
                </c:pt>
                <c:pt idx="15">
                  <c:v>15.69</c:v>
                </c:pt>
                <c:pt idx="16">
                  <c:v>15.84</c:v>
                </c:pt>
                <c:pt idx="17">
                  <c:v>15.95</c:v>
                </c:pt>
                <c:pt idx="18">
                  <c:v>16.17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базовая!$L$1</c:f>
              <c:strCache>
                <c:ptCount val="1"/>
                <c:pt idx="0">
                  <c:v>Сдвиг вверх, %</c:v>
                </c:pt>
              </c:strCache>
            </c:strRef>
          </c:tx>
          <c:spPr>
            <a:ln w="25400" cap="rnd">
              <a:solidFill>
                <a:schemeClr val="accent2">
                  <a:alpha val="80000"/>
                </a:schemeClr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базовая!$L$2:$L$20</c:f>
              <c:numCache>
                <c:formatCode>0.000</c:formatCode>
                <c:ptCount val="19"/>
                <c:pt idx="0">
                  <c:v>17.59</c:v>
                </c:pt>
                <c:pt idx="1">
                  <c:v>17.59</c:v>
                </c:pt>
                <c:pt idx="2">
                  <c:v>17.59</c:v>
                </c:pt>
                <c:pt idx="3">
                  <c:v>17.35</c:v>
                </c:pt>
                <c:pt idx="4">
                  <c:v>17.42</c:v>
                </c:pt>
                <c:pt idx="5">
                  <c:v>17.63</c:v>
                </c:pt>
                <c:pt idx="6">
                  <c:v>18.105</c:v>
                </c:pt>
                <c:pt idx="7">
                  <c:v>18.58</c:v>
                </c:pt>
                <c:pt idx="8">
                  <c:v>19.06</c:v>
                </c:pt>
                <c:pt idx="9">
                  <c:v>19.24</c:v>
                </c:pt>
                <c:pt idx="10">
                  <c:v>19.42</c:v>
                </c:pt>
                <c:pt idx="11">
                  <c:v>19.495</c:v>
                </c:pt>
                <c:pt idx="12">
                  <c:v>19.57</c:v>
                </c:pt>
                <c:pt idx="13">
                  <c:v>19.61</c:v>
                </c:pt>
                <c:pt idx="14">
                  <c:v>19.65</c:v>
                </c:pt>
                <c:pt idx="15">
                  <c:v>19.69</c:v>
                </c:pt>
                <c:pt idx="16">
                  <c:v>19.84</c:v>
                </c:pt>
                <c:pt idx="17">
                  <c:v>19.95</c:v>
                </c:pt>
                <c:pt idx="18">
                  <c:v>20.17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базовая!$M$1</c:f>
              <c:strCache>
                <c:ptCount val="1"/>
                <c:pt idx="0">
                  <c:v>Сдвиг вниз, %</c:v>
                </c:pt>
              </c:strCache>
            </c:strRef>
          </c:tx>
          <c:spPr>
            <a:ln w="25400" cap="rnd">
              <a:solidFill>
                <a:schemeClr val="accent3">
                  <a:alpha val="80000"/>
                </a:schemeClr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базовая!$M$2:$M$20</c:f>
              <c:numCache>
                <c:formatCode>0.000</c:formatCode>
                <c:ptCount val="19"/>
                <c:pt idx="0">
                  <c:v>9.59</c:v>
                </c:pt>
                <c:pt idx="1">
                  <c:v>9.59</c:v>
                </c:pt>
                <c:pt idx="2">
                  <c:v>9.59</c:v>
                </c:pt>
                <c:pt idx="3">
                  <c:v>9.35</c:v>
                </c:pt>
                <c:pt idx="4">
                  <c:v>9.42</c:v>
                </c:pt>
                <c:pt idx="5">
                  <c:v>9.63</c:v>
                </c:pt>
                <c:pt idx="6">
                  <c:v>10.105</c:v>
                </c:pt>
                <c:pt idx="7">
                  <c:v>10.58</c:v>
                </c:pt>
                <c:pt idx="8">
                  <c:v>11.06</c:v>
                </c:pt>
                <c:pt idx="9">
                  <c:v>11.24</c:v>
                </c:pt>
                <c:pt idx="10">
                  <c:v>11.42</c:v>
                </c:pt>
                <c:pt idx="11">
                  <c:v>11.495</c:v>
                </c:pt>
                <c:pt idx="12">
                  <c:v>11.57</c:v>
                </c:pt>
                <c:pt idx="13">
                  <c:v>11.61</c:v>
                </c:pt>
                <c:pt idx="14">
                  <c:v>11.65</c:v>
                </c:pt>
                <c:pt idx="15">
                  <c:v>11.69</c:v>
                </c:pt>
                <c:pt idx="16">
                  <c:v>11.84</c:v>
                </c:pt>
                <c:pt idx="17">
                  <c:v>11.95</c:v>
                </c:pt>
                <c:pt idx="18">
                  <c:v>12.17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базовая!$N$1</c:f>
              <c:strCache>
                <c:ptCount val="1"/>
                <c:pt idx="0">
                  <c:v>Увеличение наклона, %</c:v>
                </c:pt>
              </c:strCache>
            </c:strRef>
          </c:tx>
          <c:spPr>
            <a:ln w="25400" cap="rnd">
              <a:solidFill>
                <a:schemeClr val="accent4">
                  <a:alpha val="80000"/>
                </a:schemeClr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базовая!$N$2:$N$20</c:f>
              <c:numCache>
                <c:formatCode>0.000</c:formatCode>
                <c:ptCount val="19"/>
                <c:pt idx="0">
                  <c:v>10.3441635425901</c:v>
                </c:pt>
                <c:pt idx="1">
                  <c:v>10.4017065457723</c:v>
                </c:pt>
                <c:pt idx="2">
                  <c:v>10.582870289813</c:v>
                </c:pt>
                <c:pt idx="3">
                  <c:v>10.6324633497888</c:v>
                </c:pt>
                <c:pt idx="4">
                  <c:v>11.0306953025208</c:v>
                </c:pt>
                <c:pt idx="5">
                  <c:v>11.5490406865501</c:v>
                </c:pt>
                <c:pt idx="6">
                  <c:v>12.4518870077675</c:v>
                </c:pt>
                <c:pt idx="7">
                  <c:v>13.438391267754</c:v>
                </c:pt>
                <c:pt idx="8">
                  <c:v>14.575194500312</c:v>
                </c:pt>
                <c:pt idx="9">
                  <c:v>15.4596709829129</c:v>
                </c:pt>
                <c:pt idx="10">
                  <c:v>16.1883178192178</c:v>
                </c:pt>
                <c:pt idx="11">
                  <c:v>16.6906044049618</c:v>
                </c:pt>
                <c:pt idx="12">
                  <c:v>17.098375532535</c:v>
                </c:pt>
                <c:pt idx="13">
                  <c:v>17.3975379472727</c:v>
                </c:pt>
                <c:pt idx="14">
                  <c:v>17.639373838813</c:v>
                </c:pt>
                <c:pt idx="15">
                  <c:v>17.8365637891966</c:v>
                </c:pt>
                <c:pt idx="16">
                  <c:v>18.2785752449407</c:v>
                </c:pt>
                <c:pt idx="17">
                  <c:v>18.5751005536575</c:v>
                </c:pt>
                <c:pt idx="18">
                  <c:v>18.8585137978894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базовая!$O$1</c:f>
              <c:strCache>
                <c:ptCount val="1"/>
                <c:pt idx="0">
                  <c:v>Уменьшение наклона, %</c:v>
                </c:pt>
              </c:strCache>
            </c:strRef>
          </c:tx>
          <c:spPr>
            <a:ln w="25400" cap="rnd">
              <a:solidFill>
                <a:schemeClr val="accent5">
                  <a:alpha val="80000"/>
                </a:schemeClr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базовая!$O$2:$O$20</c:f>
              <c:numCache>
                <c:formatCode>0.000</c:formatCode>
                <c:ptCount val="19"/>
                <c:pt idx="0">
                  <c:v>17.5859414206685</c:v>
                </c:pt>
                <c:pt idx="1">
                  <c:v>17.529849081432</c:v>
                </c:pt>
                <c:pt idx="2">
                  <c:v>17.3532524906024</c:v>
                </c:pt>
                <c:pt idx="3">
                  <c:v>16.8309600960042</c:v>
                </c:pt>
                <c:pt idx="4">
                  <c:v>16.5810028983831</c:v>
                </c:pt>
                <c:pt idx="5">
                  <c:v>16.4904309273966</c:v>
                </c:pt>
                <c:pt idx="6">
                  <c:v>16.5483706478905</c:v>
                </c:pt>
                <c:pt idx="7">
                  <c:v>16.5247614532818</c:v>
                </c:pt>
                <c:pt idx="8">
                  <c:v>16.3645162854101</c:v>
                </c:pt>
                <c:pt idx="9">
                  <c:v>15.8577997141353</c:v>
                </c:pt>
                <c:pt idx="10">
                  <c:v>15.5029843106784</c:v>
                </c:pt>
                <c:pt idx="11">
                  <c:v>15.1614696556675</c:v>
                </c:pt>
                <c:pt idx="12">
                  <c:v>14.9120877161843</c:v>
                </c:pt>
                <c:pt idx="13">
                  <c:v>14.6994588077006</c:v>
                </c:pt>
                <c:pt idx="14">
                  <c:v>14.542711215947</c:v>
                </c:pt>
                <c:pt idx="15">
                  <c:v>14.4294840374218</c:v>
                </c:pt>
                <c:pt idx="16">
                  <c:v>14.2948342150158</c:v>
                </c:pt>
                <c:pt idx="17">
                  <c:v>14.2230112250061</c:v>
                </c:pt>
                <c:pt idx="18">
                  <c:v>14.3811966339901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базовая!$P$1</c:f>
              <c:strCache>
                <c:ptCount val="1"/>
                <c:pt idx="0">
                  <c:v>Рост коротких, %</c:v>
                </c:pt>
              </c:strCache>
            </c:strRef>
          </c:tx>
          <c:spPr>
            <a:ln w="25400" cap="rnd">
              <a:solidFill>
                <a:schemeClr val="accent6">
                  <a:alpha val="80000"/>
                </a:schemeClr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базовая!$P$2:$P$20</c:f>
              <c:numCache>
                <c:formatCode>0.000</c:formatCode>
                <c:ptCount val="19"/>
                <c:pt idx="0">
                  <c:v>18.5865012247142</c:v>
                </c:pt>
                <c:pt idx="1">
                  <c:v>18.5381457598552</c:v>
                </c:pt>
                <c:pt idx="2">
                  <c:v>18.3859073194848</c:v>
                </c:pt>
                <c:pt idx="3">
                  <c:v>17.9025518069002</c:v>
                </c:pt>
                <c:pt idx="4">
                  <c:v>17.6967266365371</c:v>
                </c:pt>
                <c:pt idx="5">
                  <c:v>17.6476128684453</c:v>
                </c:pt>
                <c:pt idx="6">
                  <c:v>17.7630781447332</c:v>
                </c:pt>
                <c:pt idx="7">
                  <c:v>17.8082426321395</c:v>
                </c:pt>
                <c:pt idx="8">
                  <c:v>17.736307142595</c:v>
                </c:pt>
                <c:pt idx="9">
                  <c:v>17.3243100983925</c:v>
                </c:pt>
                <c:pt idx="10">
                  <c:v>17.0432623367917</c:v>
                </c:pt>
                <c:pt idx="11">
                  <c:v>16.7591979790237</c:v>
                </c:pt>
                <c:pt idx="12">
                  <c:v>16.554558376021</c:v>
                </c:pt>
                <c:pt idx="13">
                  <c:v>16.3767748342246</c:v>
                </c:pt>
                <c:pt idx="14">
                  <c:v>16.2471648413336</c:v>
                </c:pt>
                <c:pt idx="15">
                  <c:v>16.1550724460533</c:v>
                </c:pt>
                <c:pt idx="16">
                  <c:v>16.059684668117</c:v>
                </c:pt>
                <c:pt idx="17">
                  <c:v>16.0129407112122</c:v>
                </c:pt>
                <c:pt idx="18">
                  <c:v>16.1796522706811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базовая!$Q$1</c:f>
              <c:strCache>
                <c:ptCount val="1"/>
                <c:pt idx="0">
                  <c:v>Снижение коротких, %</c:v>
                </c:pt>
              </c:strCache>
            </c:strRef>
          </c:tx>
          <c:spPr>
            <a:ln w="25400" cap="rnd">
              <a:solidFill>
                <a:schemeClr val="accent1">
                  <a:lumMod val="60000"/>
                  <a:alpha val="80000"/>
                </a:schemeClr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strRef>
              <c:f>базовая!$C$2:$C$20</c:f>
              <c:strCache>
                <c:ptCount val="19"/>
                <c:pt idx="0" c:formatCode="General">
                  <c:v>1d</c:v>
                </c:pt>
                <c:pt idx="1" c:formatCode="General">
                  <c:v>1m</c:v>
                </c:pt>
                <c:pt idx="2" c:formatCode="General">
                  <c:v>3m</c:v>
                </c:pt>
                <c:pt idx="3" c:formatCode="General">
                  <c:v>6m</c:v>
                </c:pt>
                <c:pt idx="4" c:formatCode="General">
                  <c:v>9m</c:v>
                </c:pt>
                <c:pt idx="5" c:formatCode="General">
                  <c:v>1y</c:v>
                </c:pt>
                <c:pt idx="6" c:formatCode="General">
                  <c:v>1.5y</c:v>
                </c:pt>
                <c:pt idx="7" c:formatCode="General">
                  <c:v>2y</c:v>
                </c:pt>
                <c:pt idx="8" c:formatCode="General">
                  <c:v>3y</c:v>
                </c:pt>
                <c:pt idx="9" c:formatCode="General">
                  <c:v>4y</c:v>
                </c:pt>
                <c:pt idx="10" c:formatCode="General">
                  <c:v>5y</c:v>
                </c:pt>
                <c:pt idx="11" c:formatCode="General">
                  <c:v>6y</c:v>
                </c:pt>
                <c:pt idx="12" c:formatCode="General">
                  <c:v>7y</c:v>
                </c:pt>
                <c:pt idx="13" c:formatCode="General">
                  <c:v>8y</c:v>
                </c:pt>
                <c:pt idx="14" c:formatCode="General">
                  <c:v>9y</c:v>
                </c:pt>
                <c:pt idx="15" c:formatCode="General">
                  <c:v>10y</c:v>
                </c:pt>
                <c:pt idx="16" c:formatCode="General">
                  <c:v>15y</c:v>
                </c:pt>
                <c:pt idx="17" c:formatCode="General">
                  <c:v>20y</c:v>
                </c:pt>
                <c:pt idx="18" c:formatCode="General">
                  <c:v>30y</c:v>
                </c:pt>
              </c:strCache>
            </c:strRef>
          </c:cat>
          <c:val>
            <c:numRef>
              <c:f>базовая!$Q$2:$Q$20</c:f>
              <c:numCache>
                <c:formatCode>0.000</c:formatCode>
                <c:ptCount val="19"/>
                <c:pt idx="0">
                  <c:v>8.59349877528578</c:v>
                </c:pt>
                <c:pt idx="1">
                  <c:v>8.64185424014483</c:v>
                </c:pt>
                <c:pt idx="2">
                  <c:v>8.79409268051516</c:v>
                </c:pt>
                <c:pt idx="3">
                  <c:v>8.79744819309983</c:v>
                </c:pt>
                <c:pt idx="4">
                  <c:v>9.14327336346289</c:v>
                </c:pt>
                <c:pt idx="5">
                  <c:v>9.6123871315547</c:v>
                </c:pt>
                <c:pt idx="6">
                  <c:v>10.4469218552668</c:v>
                </c:pt>
                <c:pt idx="7">
                  <c:v>11.3517573678605</c:v>
                </c:pt>
                <c:pt idx="8">
                  <c:v>12.383692857405</c:v>
                </c:pt>
                <c:pt idx="9">
                  <c:v>13.1556899016075</c:v>
                </c:pt>
                <c:pt idx="10">
                  <c:v>13.7967376632083</c:v>
                </c:pt>
                <c:pt idx="11">
                  <c:v>14.2308020209763</c:v>
                </c:pt>
                <c:pt idx="12">
                  <c:v>14.585441623979</c:v>
                </c:pt>
                <c:pt idx="13">
                  <c:v>14.8432251657754</c:v>
                </c:pt>
                <c:pt idx="14">
                  <c:v>15.0528351586664</c:v>
                </c:pt>
                <c:pt idx="15">
                  <c:v>15.2249275539467</c:v>
                </c:pt>
                <c:pt idx="16">
                  <c:v>15.620315331883</c:v>
                </c:pt>
                <c:pt idx="17">
                  <c:v>15.8870592887878</c:v>
                </c:pt>
                <c:pt idx="18">
                  <c:v>16.1603477293189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69414398"/>
        <c:axId val="629920623"/>
      </c:lineChart>
      <c:catAx>
        <c:axId val="66941439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Срок (Тенор)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9920623"/>
        <c:crosses val="autoZero"/>
        <c:auto val="1"/>
        <c:lblAlgn val="ctr"/>
        <c:lblOffset val="100"/>
        <c:noMultiLvlLbl val="0"/>
      </c:catAx>
      <c:valAx>
        <c:axId val="629920623"/>
        <c:scaling>
          <c:orientation val="minMax"/>
          <c:max val="21"/>
          <c:min val="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Ставка, % годовых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94143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1ec457-feaa-43b2-8646-857ce0a385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17145</xdr:colOff>
      <xdr:row>27</xdr:row>
      <xdr:rowOff>177800</xdr:rowOff>
    </xdr:from>
    <xdr:to>
      <xdr:col>30</xdr:col>
      <xdr:colOff>516890</xdr:colOff>
      <xdr:row>63</xdr:row>
      <xdr:rowOff>117475</xdr:rowOff>
    </xdr:to>
    <xdr:graphicFrame>
      <xdr:nvGraphicFramePr>
        <xdr:cNvPr id="3" name="Диаграмма 2"/>
        <xdr:cNvGraphicFramePr/>
      </xdr:nvGraphicFramePr>
      <xdr:xfrm>
        <a:off x="13458825" y="5504180"/>
        <a:ext cx="9415145" cy="6523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26670</xdr:colOff>
      <xdr:row>68</xdr:row>
      <xdr:rowOff>180340</xdr:rowOff>
    </xdr:from>
    <xdr:to>
      <xdr:col>13</xdr:col>
      <xdr:colOff>203835</xdr:colOff>
      <xdr:row>104</xdr:row>
      <xdr:rowOff>106045</xdr:rowOff>
    </xdr:to>
    <xdr:graphicFrame>
      <xdr:nvGraphicFramePr>
        <xdr:cNvPr id="4" name="Диаграмма 3"/>
        <xdr:cNvGraphicFramePr/>
      </xdr:nvGraphicFramePr>
      <xdr:xfrm>
        <a:off x="1741170" y="13004800"/>
        <a:ext cx="9366885" cy="650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20955</xdr:colOff>
      <xdr:row>68</xdr:row>
      <xdr:rowOff>182245</xdr:rowOff>
    </xdr:from>
    <xdr:to>
      <xdr:col>30</xdr:col>
      <xdr:colOff>391160</xdr:colOff>
      <xdr:row>104</xdr:row>
      <xdr:rowOff>42545</xdr:rowOff>
    </xdr:to>
    <xdr:graphicFrame>
      <xdr:nvGraphicFramePr>
        <xdr:cNvPr id="5" name="Диаграмма 4"/>
        <xdr:cNvGraphicFramePr/>
      </xdr:nvGraphicFramePr>
      <xdr:xfrm>
        <a:off x="13462635" y="13006705"/>
        <a:ext cx="9285605" cy="6443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23495</xdr:colOff>
      <xdr:row>28</xdr:row>
      <xdr:rowOff>38100</xdr:rowOff>
    </xdr:from>
    <xdr:to>
      <xdr:col>12</xdr:col>
      <xdr:colOff>718820</xdr:colOff>
      <xdr:row>62</xdr:row>
      <xdr:rowOff>169545</xdr:rowOff>
    </xdr:to>
    <xdr:graphicFrame>
      <xdr:nvGraphicFramePr>
        <xdr:cNvPr id="6" name="Диаграмма 5"/>
        <xdr:cNvGraphicFramePr/>
      </xdr:nvGraphicFramePr>
      <xdr:xfrm>
        <a:off x="1737995" y="5547360"/>
        <a:ext cx="9130665" cy="6349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110</xdr:row>
      <xdr:rowOff>30480</xdr:rowOff>
    </xdr:from>
    <xdr:to>
      <xdr:col>13</xdr:col>
      <xdr:colOff>177165</xdr:colOff>
      <xdr:row>145</xdr:row>
      <xdr:rowOff>139065</xdr:rowOff>
    </xdr:to>
    <xdr:graphicFrame>
      <xdr:nvGraphicFramePr>
        <xdr:cNvPr id="7" name="Диаграмма 6"/>
        <xdr:cNvGraphicFramePr/>
      </xdr:nvGraphicFramePr>
      <xdr:xfrm>
        <a:off x="1714500" y="20535900"/>
        <a:ext cx="9366885" cy="650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110</xdr:row>
      <xdr:rowOff>0</xdr:rowOff>
    </xdr:from>
    <xdr:to>
      <xdr:col>30</xdr:col>
      <xdr:colOff>451485</xdr:colOff>
      <xdr:row>145</xdr:row>
      <xdr:rowOff>108585</xdr:rowOff>
    </xdr:to>
    <xdr:graphicFrame>
      <xdr:nvGraphicFramePr>
        <xdr:cNvPr id="8" name="Диаграмма 7"/>
        <xdr:cNvGraphicFramePr/>
      </xdr:nvGraphicFramePr>
      <xdr:xfrm>
        <a:off x="13441680" y="20505420"/>
        <a:ext cx="9366885" cy="650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31750</xdr:colOff>
      <xdr:row>27</xdr:row>
      <xdr:rowOff>178435</xdr:rowOff>
    </xdr:from>
    <xdr:to>
      <xdr:col>49</xdr:col>
      <xdr:colOff>225425</xdr:colOff>
      <xdr:row>63</xdr:row>
      <xdr:rowOff>104775</xdr:rowOff>
    </xdr:to>
    <xdr:graphicFrame>
      <xdr:nvGraphicFramePr>
        <xdr:cNvPr id="9" name="Диаграмма 8"/>
        <xdr:cNvGraphicFramePr/>
      </xdr:nvGraphicFramePr>
      <xdr:xfrm>
        <a:off x="24857710" y="5504815"/>
        <a:ext cx="9451975" cy="6510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4.4" outlineLevelCol="1"/>
  <cols>
    <col min="1" max="1" width="12" customWidth="1"/>
    <col min="2" max="2" width="16" customWidth="1"/>
  </cols>
  <sheetData>
    <row r="1" spans="1:2">
      <c r="A1" s="7" t="s">
        <v>0</v>
      </c>
      <c r="B1" s="7" t="s">
        <v>1</v>
      </c>
    </row>
    <row r="2" spans="1:2">
      <c r="A2">
        <v>0.25</v>
      </c>
      <c r="B2">
        <v>13.59</v>
      </c>
    </row>
    <row r="3" spans="1:2">
      <c r="A3">
        <v>0.5</v>
      </c>
      <c r="B3">
        <v>13.35</v>
      </c>
    </row>
    <row r="4" spans="1:2">
      <c r="A4">
        <v>0.75</v>
      </c>
      <c r="B4">
        <v>13.42</v>
      </c>
    </row>
    <row r="5" spans="1:2">
      <c r="A5">
        <v>1</v>
      </c>
      <c r="B5">
        <v>13.63</v>
      </c>
    </row>
    <row r="6" spans="1:2">
      <c r="A6">
        <v>2</v>
      </c>
      <c r="B6">
        <v>14.58</v>
      </c>
    </row>
    <row r="7" spans="1:2">
      <c r="A7">
        <v>3</v>
      </c>
      <c r="B7">
        <v>15.06</v>
      </c>
    </row>
    <row r="8" spans="1:2">
      <c r="A8">
        <v>5</v>
      </c>
      <c r="B8">
        <v>15.42</v>
      </c>
    </row>
    <row r="9" spans="1:2">
      <c r="A9">
        <v>7</v>
      </c>
      <c r="B9">
        <v>15.57</v>
      </c>
    </row>
    <row r="10" spans="1:2">
      <c r="A10">
        <v>10</v>
      </c>
      <c r="B10">
        <v>15.69</v>
      </c>
    </row>
    <row r="11" spans="1:2">
      <c r="A11">
        <v>15</v>
      </c>
      <c r="B11">
        <v>15.84</v>
      </c>
    </row>
    <row r="12" spans="1:2">
      <c r="A12">
        <v>20</v>
      </c>
      <c r="B12">
        <v>15.95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tabSelected="1" zoomScale="40" zoomScaleNormal="40" topLeftCell="A11" workbookViewId="0">
      <selection activeCell="D26" sqref="D26"/>
    </sheetView>
  </sheetViews>
  <sheetFormatPr defaultColWidth="9" defaultRowHeight="14.4"/>
  <cols>
    <col min="1" max="1" width="5" customWidth="1"/>
    <col min="2" max="2" width="20" customWidth="1"/>
    <col min="3" max="3" width="8" customWidth="1"/>
    <col min="4" max="4" width="11" customWidth="1"/>
    <col min="5" max="5" width="14" customWidth="1"/>
    <col min="6" max="6" width="13" customWidth="1"/>
    <col min="7" max="7" width="12" customWidth="1"/>
    <col min="8" max="8" width="13" customWidth="1"/>
    <col min="9" max="9" width="12" customWidth="1"/>
    <col min="10" max="10" width="10" customWidth="1"/>
    <col min="11" max="11" width="19" customWidth="1"/>
    <col min="12" max="13" width="11" customWidth="1"/>
    <col min="14" max="15" width="13" customWidth="1"/>
    <col min="16" max="16" width="11" customWidth="1"/>
    <col min="17" max="17" width="13" customWidth="1"/>
    <col min="18" max="18" width="3" customWidth="1"/>
    <col min="19" max="19" width="16" customWidth="1"/>
    <col min="20" max="20" width="8" customWidth="1"/>
  </cols>
  <sheetData>
    <row r="1" ht="45" customHeight="1" spans="1:20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S1" s="2" t="s">
        <v>19</v>
      </c>
    </row>
    <row r="2" spans="1:20">
      <c r="A2" s="3">
        <v>1</v>
      </c>
      <c r="B2" s="4" t="s">
        <v>20</v>
      </c>
      <c r="C2" s="3" t="s">
        <v>21</v>
      </c>
      <c r="D2" s="3">
        <v>0.0027</v>
      </c>
      <c r="E2" s="3">
        <v>0.0028</v>
      </c>
      <c r="F2" s="3" t="str">
        <f>IF(D2&lt;MIN(MOEX!$A$2:$A$100),"—",IF(D2&gt;MAX(MOEX!$A$2:$A$100),INDEX(MOEX!$A$2:$A$100,COUNT(MOEX!$A$2:$A$100)-1),INDEX(MOEX!$A$2:$A$100,MATCH(D2,MOEX!$A$2:$A$100,1))))</f>
        <v>—</v>
      </c>
      <c r="G2" s="5" t="str">
        <f>IF(F2="—","—",INDEX(MOEX!$B$2:$B$100,MATCH(F2,MOEX!$A$2:$A$100,0)))</f>
        <v>—</v>
      </c>
      <c r="H2" s="3" t="str">
        <f>IF(D2&lt;MIN(MOEX!$A$2:$A$100),"—",IF(D2&gt;MAX(MOEX!$A$2:$A$100),MAX(MOEX!$A$2:$A$100),IF(COUNTIF(MOEX!$A$2:$A$100,D2)&gt;0,D2,INDEX(MOEX!$A$2:$A$100,MATCH(D2,MOEX!$A$2:$A$100,1)+1))))</f>
        <v>—</v>
      </c>
      <c r="I2" s="5" t="str">
        <f>IF(H2="—","—",INDEX(MOEX!$B$2:$B$100,MATCH(H2,MOEX!$A$2:$A$100,0)))</f>
        <v>—</v>
      </c>
      <c r="J2" s="6">
        <f>IF(K2="Ближайшее значение",INDEX(MOEX!$B$2:$B$100,1),IF(K2="Экстраполяция",I2+(I2-G2)/(H2-F2)*(D2-H2),IF(K2="Значение MOEX",INDEX(MOEX!$B$2:$B$100,MATCH(D2,MOEX!$A$2:$A$100,0)),G2+(D2-F2)*(I2-G2)/(H2-F2))))</f>
        <v>13.59</v>
      </c>
      <c r="K2" s="3" t="str">
        <f>IF(D2&lt;MIN(MOEX!$A$2:$A$100),"Ближайшее значение",IF(D2&gt;MAX(MOEX!$A$2:$A$100),"Экстраполяция",IF(COUNTIF(MOEX!$A$2:$A$100,D2)&gt;0,"Значение MOEX","Интерполяция")))</f>
        <v>Ближайшее значение</v>
      </c>
      <c r="L2" s="6">
        <f t="shared" ref="L2:L20" si="0">J2+$T$2</f>
        <v>17.59</v>
      </c>
      <c r="M2" s="6">
        <f t="shared" ref="M2:M20" si="1">J2-$T$2</f>
        <v>9.59</v>
      </c>
      <c r="N2" s="6">
        <f t="shared" ref="N2:N20" si="2">J2-0.65*$T$3*EXP(-E2/$T$5)+0.9*$T$4*(1-EXP(-E2/$T$5))</f>
        <v>10.3441635425901</v>
      </c>
      <c r="O2" s="6">
        <f t="shared" ref="O2:O20" si="3">J2+0.8*$T$3*EXP(-E2/$T$5)-0.6*$T$4*(1-EXP(-E2/$T$5))</f>
        <v>17.5859414206685</v>
      </c>
      <c r="P2" s="6">
        <f t="shared" ref="P2:P20" si="4">J2+$T$3*EXP(-E2/$T$5)</f>
        <v>18.5865012247142</v>
      </c>
      <c r="Q2" s="6">
        <f t="shared" ref="Q2:Q20" si="5">J2-$T$3*EXP(-E2/$T$5)</f>
        <v>8.59349877528578</v>
      </c>
      <c r="S2" s="7" t="s">
        <v>22</v>
      </c>
      <c r="T2" s="2">
        <v>4</v>
      </c>
    </row>
    <row r="3" spans="1:20">
      <c r="A3" s="3">
        <v>2</v>
      </c>
      <c r="B3" s="4" t="s">
        <v>23</v>
      </c>
      <c r="C3" s="3" t="s">
        <v>24</v>
      </c>
      <c r="D3" s="3">
        <v>0.0833</v>
      </c>
      <c r="E3" s="3">
        <v>0.0417</v>
      </c>
      <c r="F3" s="3" t="str">
        <f>IF(D3&lt;MIN(MOEX!$A$2:$A$100),"—",IF(D3&gt;MAX(MOEX!$A$2:$A$100),INDEX(MOEX!$A$2:$A$100,COUNT(MOEX!$A$2:$A$100)-1),INDEX(MOEX!$A$2:$A$100,MATCH(D3,MOEX!$A$2:$A$100,1))))</f>
        <v>—</v>
      </c>
      <c r="G3" s="5" t="str">
        <f>IF(F3="—","—",INDEX(MOEX!$B$2:$B$100,MATCH(F3,MOEX!$A$2:$A$100,0)))</f>
        <v>—</v>
      </c>
      <c r="H3" s="3" t="str">
        <f>IF(D3&lt;MIN(MOEX!$A$2:$A$100),"—",IF(D3&gt;MAX(MOEX!$A$2:$A$100),MAX(MOEX!$A$2:$A$100),IF(COUNTIF(MOEX!$A$2:$A$100,D3)&gt;0,D3,INDEX(MOEX!$A$2:$A$100,MATCH(D3,MOEX!$A$2:$A$100,1)+1))))</f>
        <v>—</v>
      </c>
      <c r="I3" s="5" t="str">
        <f>IF(H3="—","—",INDEX(MOEX!$B$2:$B$100,MATCH(H3,MOEX!$A$2:$A$100,0)))</f>
        <v>—</v>
      </c>
      <c r="J3" s="6">
        <f>IF(K3="Ближайшее значение",INDEX(MOEX!$B$2:$B$100,1),IF(K3="Экстраполяция",I3+(I3-G3)/(H3-F3)*(D3-H3),IF(K3="Значение MOEX",INDEX(MOEX!$B$2:$B$100,MATCH(D3,MOEX!$A$2:$A$100,0)),G3+(D3-F3)*(I3-G3)/(H3-F3))))</f>
        <v>13.59</v>
      </c>
      <c r="K3" s="3" t="str">
        <f>IF(D3&lt;MIN(MOEX!$A$2:$A$100),"Ближайшее значение",IF(D3&gt;MAX(MOEX!$A$2:$A$100),"Экстраполяция",IF(COUNTIF(MOEX!$A$2:$A$100,D3)&gt;0,"Значение MOEX","Интерполяция")))</f>
        <v>Ближайшее значение</v>
      </c>
      <c r="L3" s="6">
        <f t="shared" si="0"/>
        <v>17.59</v>
      </c>
      <c r="M3" s="6">
        <f t="shared" si="1"/>
        <v>9.59</v>
      </c>
      <c r="N3" s="6">
        <f t="shared" si="2"/>
        <v>10.4017065457723</v>
      </c>
      <c r="O3" s="6">
        <f t="shared" si="3"/>
        <v>17.529849081432</v>
      </c>
      <c r="P3" s="6">
        <f t="shared" si="4"/>
        <v>18.5381457598552</v>
      </c>
      <c r="Q3" s="6">
        <f t="shared" si="5"/>
        <v>8.64185424014483</v>
      </c>
      <c r="S3" s="7" t="s">
        <v>25</v>
      </c>
      <c r="T3" s="2">
        <v>5</v>
      </c>
    </row>
    <row r="4" spans="1:20">
      <c r="A4" s="3">
        <v>3</v>
      </c>
      <c r="B4" s="4" t="s">
        <v>26</v>
      </c>
      <c r="C4" s="3" t="s">
        <v>27</v>
      </c>
      <c r="D4" s="3">
        <v>0.25</v>
      </c>
      <c r="E4" s="3">
        <v>0.1667</v>
      </c>
      <c r="F4" s="3">
        <f>IF(D4&lt;MIN(MOEX!$A$2:$A$100),"—",IF(D4&gt;MAX(MOEX!$A$2:$A$100),INDEX(MOEX!$A$2:$A$100,COUNT(MOEX!$A$2:$A$100)-1),INDEX(MOEX!$A$2:$A$100,MATCH(D4,MOEX!$A$2:$A$100,1))))</f>
        <v>0.25</v>
      </c>
      <c r="G4" s="5">
        <f>IF(F4="—","—",INDEX(MOEX!$B$2:$B$100,MATCH(F4,MOEX!$A$2:$A$100,0)))</f>
        <v>13.59</v>
      </c>
      <c r="H4" s="3">
        <f>IF(D4&lt;MIN(MOEX!$A$2:$A$100),"—",IF(D4&gt;MAX(MOEX!$A$2:$A$100),MAX(MOEX!$A$2:$A$100),IF(COUNTIF(MOEX!$A$2:$A$100,D4)&gt;0,D4,INDEX(MOEX!$A$2:$A$100,MATCH(D4,MOEX!$A$2:$A$100,1)+1))))</f>
        <v>0.25</v>
      </c>
      <c r="I4" s="5">
        <f>IF(H4="—","—",INDEX(MOEX!$B$2:$B$100,MATCH(H4,MOEX!$A$2:$A$100,0)))</f>
        <v>13.59</v>
      </c>
      <c r="J4" s="6">
        <f>IF(K4="Ближайшее значение",INDEX(MOEX!$B$2:$B$100,1),IF(K4="Экстраполяция",I4+(I4-G4)/(H4-F4)*(D4-H4),IF(K4="Значение MOEX",INDEX(MOEX!$B$2:$B$100,MATCH(D4,MOEX!$A$2:$A$100,0)),G4+(D4-F4)*(I4-G4)/(H4-F4))))</f>
        <v>13.59</v>
      </c>
      <c r="K4" s="3" t="str">
        <f>IF(D4&lt;MIN(MOEX!$A$2:$A$100),"Ближайшее значение",IF(D4&gt;MAX(MOEX!$A$2:$A$100),"Экстраполяция",IF(COUNTIF(MOEX!$A$2:$A$100,D4)&gt;0,"Значение MOEX","Интерполяция")))</f>
        <v>Значение MOEX</v>
      </c>
      <c r="L4" s="6">
        <f t="shared" si="0"/>
        <v>17.59</v>
      </c>
      <c r="M4" s="6">
        <f t="shared" si="1"/>
        <v>9.59</v>
      </c>
      <c r="N4" s="6">
        <f t="shared" si="2"/>
        <v>10.582870289813</v>
      </c>
      <c r="O4" s="6">
        <f t="shared" si="3"/>
        <v>17.3532524906024</v>
      </c>
      <c r="P4" s="6">
        <f t="shared" si="4"/>
        <v>18.3859073194848</v>
      </c>
      <c r="Q4" s="6">
        <f t="shared" si="5"/>
        <v>8.79409268051516</v>
      </c>
      <c r="S4" s="7" t="s">
        <v>28</v>
      </c>
      <c r="T4" s="2">
        <v>3</v>
      </c>
    </row>
    <row r="5" spans="1:20">
      <c r="A5" s="3">
        <v>4</v>
      </c>
      <c r="B5" s="4" t="s">
        <v>29</v>
      </c>
      <c r="C5" s="3" t="s">
        <v>30</v>
      </c>
      <c r="D5" s="3">
        <v>0.5</v>
      </c>
      <c r="E5" s="3">
        <v>0.375</v>
      </c>
      <c r="F5" s="3">
        <f>IF(D5&lt;MIN(MOEX!$A$2:$A$100),"—",IF(D5&gt;MAX(MOEX!$A$2:$A$100),INDEX(MOEX!$A$2:$A$100,COUNT(MOEX!$A$2:$A$100)-1),INDEX(MOEX!$A$2:$A$100,MATCH(D5,MOEX!$A$2:$A$100,1))))</f>
        <v>0.5</v>
      </c>
      <c r="G5" s="5">
        <f>IF(F5="—","—",INDEX(MOEX!$B$2:$B$100,MATCH(F5,MOEX!$A$2:$A$100,0)))</f>
        <v>13.35</v>
      </c>
      <c r="H5" s="3">
        <f>IF(D5&lt;MIN(MOEX!$A$2:$A$100),"—",IF(D5&gt;MAX(MOEX!$A$2:$A$100),MAX(MOEX!$A$2:$A$100),IF(COUNTIF(MOEX!$A$2:$A$100,D5)&gt;0,D5,INDEX(MOEX!$A$2:$A$100,MATCH(D5,MOEX!$A$2:$A$100,1)+1))))</f>
        <v>0.5</v>
      </c>
      <c r="I5" s="5">
        <f>IF(H5="—","—",INDEX(MOEX!$B$2:$B$100,MATCH(H5,MOEX!$A$2:$A$100,0)))</f>
        <v>13.35</v>
      </c>
      <c r="J5" s="6">
        <f>IF(K5="Ближайшее значение",INDEX(MOEX!$B$2:$B$100,1),IF(K5="Экстраполяция",I5+(I5-G5)/(H5-F5)*(D5-H5),IF(K5="Значение MOEX",INDEX(MOEX!$B$2:$B$100,MATCH(D5,MOEX!$A$2:$A$100,0)),G5+(D5-F5)*(I5-G5)/(H5-F5))))</f>
        <v>13.35</v>
      </c>
      <c r="K5" s="3" t="str">
        <f>IF(D5&lt;MIN(MOEX!$A$2:$A$100),"Ближайшее значение",IF(D5&gt;MAX(MOEX!$A$2:$A$100),"Экстраполяция",IF(COUNTIF(MOEX!$A$2:$A$100,D5)&gt;0,"Значение MOEX","Интерполяция")))</f>
        <v>Значение MOEX</v>
      </c>
      <c r="L5" s="6">
        <f t="shared" si="0"/>
        <v>17.35</v>
      </c>
      <c r="M5" s="6">
        <f t="shared" si="1"/>
        <v>9.35</v>
      </c>
      <c r="N5" s="6">
        <f t="shared" si="2"/>
        <v>10.6324633497888</v>
      </c>
      <c r="O5" s="6">
        <f t="shared" si="3"/>
        <v>16.8309600960042</v>
      </c>
      <c r="P5" s="6">
        <f t="shared" si="4"/>
        <v>17.9025518069002</v>
      </c>
      <c r="Q5" s="6">
        <f t="shared" si="5"/>
        <v>8.79744819309983</v>
      </c>
      <c r="S5" s="7" t="s">
        <v>31</v>
      </c>
      <c r="T5" s="2">
        <v>4</v>
      </c>
    </row>
    <row r="6" spans="1:20">
      <c r="A6" s="3">
        <v>5</v>
      </c>
      <c r="B6" s="4" t="s">
        <v>32</v>
      </c>
      <c r="C6" s="3" t="s">
        <v>33</v>
      </c>
      <c r="D6" s="3">
        <v>0.75</v>
      </c>
      <c r="E6" s="3">
        <v>0.625</v>
      </c>
      <c r="F6" s="3">
        <f>IF(D6&lt;MIN(MOEX!$A$2:$A$100),"—",IF(D6&gt;MAX(MOEX!$A$2:$A$100),INDEX(MOEX!$A$2:$A$100,COUNT(MOEX!$A$2:$A$100)-1),INDEX(MOEX!$A$2:$A$100,MATCH(D6,MOEX!$A$2:$A$100,1))))</f>
        <v>0.75</v>
      </c>
      <c r="G6" s="5">
        <f>IF(F6="—","—",INDEX(MOEX!$B$2:$B$100,MATCH(F6,MOEX!$A$2:$A$100,0)))</f>
        <v>13.42</v>
      </c>
      <c r="H6" s="3">
        <f>IF(D6&lt;MIN(MOEX!$A$2:$A$100),"—",IF(D6&gt;MAX(MOEX!$A$2:$A$100),MAX(MOEX!$A$2:$A$100),IF(COUNTIF(MOEX!$A$2:$A$100,D6)&gt;0,D6,INDEX(MOEX!$A$2:$A$100,MATCH(D6,MOEX!$A$2:$A$100,1)+1))))</f>
        <v>0.75</v>
      </c>
      <c r="I6" s="5">
        <f>IF(H6="—","—",INDEX(MOEX!$B$2:$B$100,MATCH(H6,MOEX!$A$2:$A$100,0)))</f>
        <v>13.42</v>
      </c>
      <c r="J6" s="6">
        <f>IF(K6="Ближайшее значение",INDEX(MOEX!$B$2:$B$100,1),IF(K6="Экстраполяция",I6+(I6-G6)/(H6-F6)*(D6-H6),IF(K6="Значение MOEX",INDEX(MOEX!$B$2:$B$100,MATCH(D6,MOEX!$A$2:$A$100,0)),G6+(D6-F6)*(I6-G6)/(H6-F6))))</f>
        <v>13.42</v>
      </c>
      <c r="K6" s="3" t="str">
        <f>IF(D6&lt;MIN(MOEX!$A$2:$A$100),"Ближайшее значение",IF(D6&gt;MAX(MOEX!$A$2:$A$100),"Экстраполяция",IF(COUNTIF(MOEX!$A$2:$A$100,D6)&gt;0,"Значение MOEX","Интерполяция")))</f>
        <v>Значение MOEX</v>
      </c>
      <c r="L6" s="6">
        <f t="shared" si="0"/>
        <v>17.42</v>
      </c>
      <c r="M6" s="6">
        <f t="shared" si="1"/>
        <v>9.42</v>
      </c>
      <c r="N6" s="6">
        <f t="shared" si="2"/>
        <v>11.0306953025208</v>
      </c>
      <c r="O6" s="6">
        <f t="shared" si="3"/>
        <v>16.5810028983831</v>
      </c>
      <c r="P6" s="6">
        <f t="shared" si="4"/>
        <v>17.6967266365371</v>
      </c>
      <c r="Q6" s="6">
        <f t="shared" si="5"/>
        <v>9.14327336346289</v>
      </c>
    </row>
    <row r="7" spans="1:20">
      <c r="A7" s="3">
        <v>6</v>
      </c>
      <c r="B7" s="4" t="s">
        <v>34</v>
      </c>
      <c r="C7" s="3" t="s">
        <v>35</v>
      </c>
      <c r="D7" s="3">
        <v>1</v>
      </c>
      <c r="E7" s="3">
        <v>0.875</v>
      </c>
      <c r="F7" s="3">
        <f>IF(D7&lt;MIN(MOEX!$A$2:$A$100),"—",IF(D7&gt;MAX(MOEX!$A$2:$A$100),INDEX(MOEX!$A$2:$A$100,COUNT(MOEX!$A$2:$A$100)-1),INDEX(MOEX!$A$2:$A$100,MATCH(D7,MOEX!$A$2:$A$100,1))))</f>
        <v>1</v>
      </c>
      <c r="G7" s="5">
        <f>IF(F7="—","—",INDEX(MOEX!$B$2:$B$100,MATCH(F7,MOEX!$A$2:$A$100,0)))</f>
        <v>13.63</v>
      </c>
      <c r="H7" s="3">
        <f>IF(D7&lt;MIN(MOEX!$A$2:$A$100),"—",IF(D7&gt;MAX(MOEX!$A$2:$A$100),MAX(MOEX!$A$2:$A$100),IF(COUNTIF(MOEX!$A$2:$A$100,D7)&gt;0,D7,INDEX(MOEX!$A$2:$A$100,MATCH(D7,MOEX!$A$2:$A$100,1)+1))))</f>
        <v>1</v>
      </c>
      <c r="I7" s="5">
        <f>IF(H7="—","—",INDEX(MOEX!$B$2:$B$100,MATCH(H7,MOEX!$A$2:$A$100,0)))</f>
        <v>13.63</v>
      </c>
      <c r="J7" s="6">
        <f>IF(K7="Ближайшее значение",INDEX(MOEX!$B$2:$B$100,1),IF(K7="Экстраполяция",I7+(I7-G7)/(H7-F7)*(D7-H7),IF(K7="Значение MOEX",INDEX(MOEX!$B$2:$B$100,MATCH(D7,MOEX!$A$2:$A$100,0)),G7+(D7-F7)*(I7-G7)/(H7-F7))))</f>
        <v>13.63</v>
      </c>
      <c r="K7" s="3" t="str">
        <f>IF(D7&lt;MIN(MOEX!$A$2:$A$100),"Ближайшее значение",IF(D7&gt;MAX(MOEX!$A$2:$A$100),"Экстраполяция",IF(COUNTIF(MOEX!$A$2:$A$100,D7)&gt;0,"Значение MOEX","Интерполяция")))</f>
        <v>Значение MOEX</v>
      </c>
      <c r="L7" s="6">
        <f t="shared" si="0"/>
        <v>17.63</v>
      </c>
      <c r="M7" s="6">
        <f t="shared" si="1"/>
        <v>9.63</v>
      </c>
      <c r="N7" s="6">
        <f t="shared" si="2"/>
        <v>11.5490406865501</v>
      </c>
      <c r="O7" s="6">
        <f t="shared" si="3"/>
        <v>16.4904309273966</v>
      </c>
      <c r="P7" s="6">
        <f t="shared" si="4"/>
        <v>17.6476128684453</v>
      </c>
      <c r="Q7" s="6">
        <f t="shared" si="5"/>
        <v>9.6123871315547</v>
      </c>
    </row>
    <row r="8" spans="1:20">
      <c r="A8" s="3">
        <v>7</v>
      </c>
      <c r="B8" s="4" t="s">
        <v>36</v>
      </c>
      <c r="C8" s="3" t="s">
        <v>37</v>
      </c>
      <c r="D8" s="3">
        <v>1.5</v>
      </c>
      <c r="E8" s="3">
        <v>1.25</v>
      </c>
      <c r="F8" s="3">
        <f>IF(D8&lt;MIN(MOEX!$A$2:$A$100),"—",IF(D8&gt;MAX(MOEX!$A$2:$A$100),INDEX(MOEX!$A$2:$A$100,COUNT(MOEX!$A$2:$A$100)-1),INDEX(MOEX!$A$2:$A$100,MATCH(D8,MOEX!$A$2:$A$100,1))))</f>
        <v>1</v>
      </c>
      <c r="G8" s="5">
        <f>IF(F8="—","—",INDEX(MOEX!$B$2:$B$100,MATCH(F8,MOEX!$A$2:$A$100,0)))</f>
        <v>13.63</v>
      </c>
      <c r="H8" s="3">
        <f>IF(D8&lt;MIN(MOEX!$A$2:$A$100),"—",IF(D8&gt;MAX(MOEX!$A$2:$A$100),MAX(MOEX!$A$2:$A$100),IF(COUNTIF(MOEX!$A$2:$A$100,D8)&gt;0,D8,INDEX(MOEX!$A$2:$A$100,MATCH(D8,MOEX!$A$2:$A$100,1)+1))))</f>
        <v>2</v>
      </c>
      <c r="I8" s="5">
        <f>IF(H8="—","—",INDEX(MOEX!$B$2:$B$100,MATCH(H8,MOEX!$A$2:$A$100,0)))</f>
        <v>14.58</v>
      </c>
      <c r="J8" s="6">
        <f>IF(K8="Ближайшее значение",INDEX(MOEX!$B$2:$B$100,1),IF(K8="Экстраполяция",I8+(I8-G8)/(H8-F8)*(D8-H8),IF(K8="Значение MOEX",INDEX(MOEX!$B$2:$B$100,MATCH(D8,MOEX!$A$2:$A$100,0)),G8+(D8-F8)*(I8-G8)/(H8-F8))))</f>
        <v>14.105</v>
      </c>
      <c r="K8" s="3" t="str">
        <f>IF(D8&lt;MIN(MOEX!$A$2:$A$100),"Ближайшее значение",IF(D8&gt;MAX(MOEX!$A$2:$A$100),"Экстраполяция",IF(COUNTIF(MOEX!$A$2:$A$100,D8)&gt;0,"Значение MOEX","Интерполяция")))</f>
        <v>Интерполяция</v>
      </c>
      <c r="L8" s="6">
        <f t="shared" si="0"/>
        <v>18.105</v>
      </c>
      <c r="M8" s="6">
        <f t="shared" si="1"/>
        <v>10.105</v>
      </c>
      <c r="N8" s="6">
        <f t="shared" si="2"/>
        <v>12.4518870077675</v>
      </c>
      <c r="O8" s="6">
        <f t="shared" si="3"/>
        <v>16.5483706478905</v>
      </c>
      <c r="P8" s="6">
        <f t="shared" si="4"/>
        <v>17.7630781447332</v>
      </c>
      <c r="Q8" s="6">
        <f t="shared" si="5"/>
        <v>10.4469218552668</v>
      </c>
    </row>
    <row r="9" spans="1:20">
      <c r="A9" s="3">
        <v>8</v>
      </c>
      <c r="B9" s="4" t="s">
        <v>38</v>
      </c>
      <c r="C9" s="3" t="s">
        <v>39</v>
      </c>
      <c r="D9" s="3">
        <v>2</v>
      </c>
      <c r="E9" s="3">
        <v>1.75</v>
      </c>
      <c r="F9" s="3">
        <f>IF(D9&lt;MIN(MOEX!$A$2:$A$100),"—",IF(D9&gt;MAX(MOEX!$A$2:$A$100),INDEX(MOEX!$A$2:$A$100,COUNT(MOEX!$A$2:$A$100)-1),INDEX(MOEX!$A$2:$A$100,MATCH(D9,MOEX!$A$2:$A$100,1))))</f>
        <v>2</v>
      </c>
      <c r="G9" s="5">
        <f>IF(F9="—","—",INDEX(MOEX!$B$2:$B$100,MATCH(F9,MOEX!$A$2:$A$100,0)))</f>
        <v>14.58</v>
      </c>
      <c r="H9" s="3">
        <f>IF(D9&lt;MIN(MOEX!$A$2:$A$100),"—",IF(D9&gt;MAX(MOEX!$A$2:$A$100),MAX(MOEX!$A$2:$A$100),IF(COUNTIF(MOEX!$A$2:$A$100,D9)&gt;0,D9,INDEX(MOEX!$A$2:$A$100,MATCH(D9,MOEX!$A$2:$A$100,1)+1))))</f>
        <v>2</v>
      </c>
      <c r="I9" s="5">
        <f>IF(H9="—","—",INDEX(MOEX!$B$2:$B$100,MATCH(H9,MOEX!$A$2:$A$100,0)))</f>
        <v>14.58</v>
      </c>
      <c r="J9" s="6">
        <f>IF(K9="Ближайшее значение",INDEX(MOEX!$B$2:$B$100,1),IF(K9="Экстраполяция",I9+(I9-G9)/(H9-F9)*(D9-H9),IF(K9="Значение MOEX",INDEX(MOEX!$B$2:$B$100,MATCH(D9,MOEX!$A$2:$A$100,0)),G9+(D9-F9)*(I9-G9)/(H9-F9))))</f>
        <v>14.58</v>
      </c>
      <c r="K9" s="3" t="str">
        <f>IF(D9&lt;MIN(MOEX!$A$2:$A$100),"Ближайшее значение",IF(D9&gt;MAX(MOEX!$A$2:$A$100),"Экстраполяция",IF(COUNTIF(MOEX!$A$2:$A$100,D9)&gt;0,"Значение MOEX","Интерполяция")))</f>
        <v>Значение MOEX</v>
      </c>
      <c r="L9" s="6">
        <f t="shared" si="0"/>
        <v>18.58</v>
      </c>
      <c r="M9" s="6">
        <f t="shared" si="1"/>
        <v>10.58</v>
      </c>
      <c r="N9" s="6">
        <f t="shared" si="2"/>
        <v>13.438391267754</v>
      </c>
      <c r="O9" s="6">
        <f t="shared" si="3"/>
        <v>16.5247614532818</v>
      </c>
      <c r="P9" s="6">
        <f t="shared" si="4"/>
        <v>17.8082426321395</v>
      </c>
      <c r="Q9" s="6">
        <f t="shared" si="5"/>
        <v>11.3517573678605</v>
      </c>
    </row>
    <row r="10" spans="1:20">
      <c r="A10" s="3">
        <v>9</v>
      </c>
      <c r="B10" s="4" t="s">
        <v>40</v>
      </c>
      <c r="C10" s="3" t="s">
        <v>41</v>
      </c>
      <c r="D10" s="3">
        <v>3</v>
      </c>
      <c r="E10" s="3">
        <v>2.5</v>
      </c>
      <c r="F10" s="3">
        <f>IF(D10&lt;MIN(MOEX!$A$2:$A$100),"—",IF(D10&gt;MAX(MOEX!$A$2:$A$100),INDEX(MOEX!$A$2:$A$100,COUNT(MOEX!$A$2:$A$100)-1),INDEX(MOEX!$A$2:$A$100,MATCH(D10,MOEX!$A$2:$A$100,1))))</f>
        <v>3</v>
      </c>
      <c r="G10" s="5">
        <f>IF(F10="—","—",INDEX(MOEX!$B$2:$B$100,MATCH(F10,MOEX!$A$2:$A$100,0)))</f>
        <v>15.06</v>
      </c>
      <c r="H10" s="3">
        <f>IF(D10&lt;MIN(MOEX!$A$2:$A$100),"—",IF(D10&gt;MAX(MOEX!$A$2:$A$100),MAX(MOEX!$A$2:$A$100),IF(COUNTIF(MOEX!$A$2:$A$100,D10)&gt;0,D10,INDEX(MOEX!$A$2:$A$100,MATCH(D10,MOEX!$A$2:$A$100,1)+1))))</f>
        <v>3</v>
      </c>
      <c r="I10" s="5">
        <f>IF(H10="—","—",INDEX(MOEX!$B$2:$B$100,MATCH(H10,MOEX!$A$2:$A$100,0)))</f>
        <v>15.06</v>
      </c>
      <c r="J10" s="6">
        <f>IF(K10="Ближайшее значение",INDEX(MOEX!$B$2:$B$100,1),IF(K10="Экстраполяция",I10+(I10-G10)/(H10-F10)*(D10-H10),IF(K10="Значение MOEX",INDEX(MOEX!$B$2:$B$100,MATCH(D10,MOEX!$A$2:$A$100,0)),G10+(D10-F10)*(I10-G10)/(H10-F10))))</f>
        <v>15.06</v>
      </c>
      <c r="K10" s="3" t="str">
        <f>IF(D10&lt;MIN(MOEX!$A$2:$A$100),"Ближайшее значение",IF(D10&gt;MAX(MOEX!$A$2:$A$100),"Экстраполяция",IF(COUNTIF(MOEX!$A$2:$A$100,D10)&gt;0,"Значение MOEX","Интерполяция")))</f>
        <v>Значение MOEX</v>
      </c>
      <c r="L10" s="6">
        <f t="shared" si="0"/>
        <v>19.06</v>
      </c>
      <c r="M10" s="6">
        <f t="shared" si="1"/>
        <v>11.06</v>
      </c>
      <c r="N10" s="6">
        <f t="shared" si="2"/>
        <v>14.575194500312</v>
      </c>
      <c r="O10" s="6">
        <f t="shared" si="3"/>
        <v>16.3645162854101</v>
      </c>
      <c r="P10" s="6">
        <f t="shared" si="4"/>
        <v>17.736307142595</v>
      </c>
      <c r="Q10" s="6">
        <f t="shared" si="5"/>
        <v>12.383692857405</v>
      </c>
    </row>
    <row r="11" spans="1:20">
      <c r="A11" s="3">
        <v>10</v>
      </c>
      <c r="B11" s="4" t="s">
        <v>42</v>
      </c>
      <c r="C11" s="3" t="s">
        <v>43</v>
      </c>
      <c r="D11" s="3">
        <v>4</v>
      </c>
      <c r="E11" s="3">
        <v>3.5</v>
      </c>
      <c r="F11" s="3">
        <f>IF(D11&lt;MIN(MOEX!$A$2:$A$100),"—",IF(D11&gt;MAX(MOEX!$A$2:$A$100),INDEX(MOEX!$A$2:$A$100,COUNT(MOEX!$A$2:$A$100)-1),INDEX(MOEX!$A$2:$A$100,MATCH(D11,MOEX!$A$2:$A$100,1))))</f>
        <v>3</v>
      </c>
      <c r="G11" s="5">
        <f>IF(F11="—","—",INDEX(MOEX!$B$2:$B$100,MATCH(F11,MOEX!$A$2:$A$100,0)))</f>
        <v>15.06</v>
      </c>
      <c r="H11" s="3">
        <f>IF(D11&lt;MIN(MOEX!$A$2:$A$100),"—",IF(D11&gt;MAX(MOEX!$A$2:$A$100),MAX(MOEX!$A$2:$A$100),IF(COUNTIF(MOEX!$A$2:$A$100,D11)&gt;0,D11,INDEX(MOEX!$A$2:$A$100,MATCH(D11,MOEX!$A$2:$A$100,1)+1))))</f>
        <v>5</v>
      </c>
      <c r="I11" s="5">
        <f>IF(H11="—","—",INDEX(MOEX!$B$2:$B$100,MATCH(H11,MOEX!$A$2:$A$100,0)))</f>
        <v>15.42</v>
      </c>
      <c r="J11" s="6">
        <f>IF(K11="Ближайшее значение",INDEX(MOEX!$B$2:$B$100,1),IF(K11="Экстраполяция",I11+(I11-G11)/(H11-F11)*(D11-H11),IF(K11="Значение MOEX",INDEX(MOEX!$B$2:$B$100,MATCH(D11,MOEX!$A$2:$A$100,0)),G11+(D11-F11)*(I11-G11)/(H11-F11))))</f>
        <v>15.24</v>
      </c>
      <c r="K11" s="3" t="str">
        <f>IF(D11&lt;MIN(MOEX!$A$2:$A$100),"Ближайшее значение",IF(D11&gt;MAX(MOEX!$A$2:$A$100),"Экстраполяция",IF(COUNTIF(MOEX!$A$2:$A$100,D11)&gt;0,"Значение MOEX","Интерполяция")))</f>
        <v>Интерполяция</v>
      </c>
      <c r="L11" s="6">
        <f t="shared" si="0"/>
        <v>19.24</v>
      </c>
      <c r="M11" s="6">
        <f t="shared" si="1"/>
        <v>11.24</v>
      </c>
      <c r="N11" s="6">
        <f t="shared" si="2"/>
        <v>15.4596709829129</v>
      </c>
      <c r="O11" s="6">
        <f t="shared" si="3"/>
        <v>15.8577997141353</v>
      </c>
      <c r="P11" s="6">
        <f t="shared" si="4"/>
        <v>17.3243100983925</v>
      </c>
      <c r="Q11" s="6">
        <f t="shared" si="5"/>
        <v>13.1556899016075</v>
      </c>
    </row>
    <row r="12" spans="1:20">
      <c r="A12" s="3">
        <v>11</v>
      </c>
      <c r="B12" s="4" t="s">
        <v>44</v>
      </c>
      <c r="C12" s="3" t="s">
        <v>45</v>
      </c>
      <c r="D12" s="3">
        <v>5</v>
      </c>
      <c r="E12" s="3">
        <v>4.5</v>
      </c>
      <c r="F12" s="3">
        <f>IF(D12&lt;MIN(MOEX!$A$2:$A$100),"—",IF(D12&gt;MAX(MOEX!$A$2:$A$100),INDEX(MOEX!$A$2:$A$100,COUNT(MOEX!$A$2:$A$100)-1),INDEX(MOEX!$A$2:$A$100,MATCH(D12,MOEX!$A$2:$A$100,1))))</f>
        <v>5</v>
      </c>
      <c r="G12" s="5">
        <f>IF(F12="—","—",INDEX(MOEX!$B$2:$B$100,MATCH(F12,MOEX!$A$2:$A$100,0)))</f>
        <v>15.42</v>
      </c>
      <c r="H12" s="3">
        <f>IF(D12&lt;MIN(MOEX!$A$2:$A$100),"—",IF(D12&gt;MAX(MOEX!$A$2:$A$100),MAX(MOEX!$A$2:$A$100),IF(COUNTIF(MOEX!$A$2:$A$100,D12)&gt;0,D12,INDEX(MOEX!$A$2:$A$100,MATCH(D12,MOEX!$A$2:$A$100,1)+1))))</f>
        <v>5</v>
      </c>
      <c r="I12" s="5">
        <f>IF(H12="—","—",INDEX(MOEX!$B$2:$B$100,MATCH(H12,MOEX!$A$2:$A$100,0)))</f>
        <v>15.42</v>
      </c>
      <c r="J12" s="6">
        <f>IF(K12="Ближайшее значение",INDEX(MOEX!$B$2:$B$100,1),IF(K12="Экстраполяция",I12+(I12-G12)/(H12-F12)*(D12-H12),IF(K12="Значение MOEX",INDEX(MOEX!$B$2:$B$100,MATCH(D12,MOEX!$A$2:$A$100,0)),G12+(D12-F12)*(I12-G12)/(H12-F12))))</f>
        <v>15.42</v>
      </c>
      <c r="K12" s="3" t="str">
        <f>IF(D12&lt;MIN(MOEX!$A$2:$A$100),"Ближайшее значение",IF(D12&gt;MAX(MOEX!$A$2:$A$100),"Экстраполяция",IF(COUNTIF(MOEX!$A$2:$A$100,D12)&gt;0,"Значение MOEX","Интерполяция")))</f>
        <v>Значение MOEX</v>
      </c>
      <c r="L12" s="6">
        <f t="shared" si="0"/>
        <v>19.42</v>
      </c>
      <c r="M12" s="6">
        <f t="shared" si="1"/>
        <v>11.42</v>
      </c>
      <c r="N12" s="6">
        <f t="shared" si="2"/>
        <v>16.1883178192178</v>
      </c>
      <c r="O12" s="6">
        <f t="shared" si="3"/>
        <v>15.5029843106784</v>
      </c>
      <c r="P12" s="6">
        <f t="shared" si="4"/>
        <v>17.0432623367917</v>
      </c>
      <c r="Q12" s="6">
        <f t="shared" si="5"/>
        <v>13.7967376632083</v>
      </c>
    </row>
    <row r="13" spans="1:20">
      <c r="A13" s="3">
        <v>12</v>
      </c>
      <c r="B13" s="4" t="s">
        <v>46</v>
      </c>
      <c r="C13" s="3" t="s">
        <v>47</v>
      </c>
      <c r="D13" s="3">
        <v>6</v>
      </c>
      <c r="E13" s="3">
        <v>5.5</v>
      </c>
      <c r="F13" s="3">
        <f>IF(D13&lt;MIN(MOEX!$A$2:$A$100),"—",IF(D13&gt;MAX(MOEX!$A$2:$A$100),INDEX(MOEX!$A$2:$A$100,COUNT(MOEX!$A$2:$A$100)-1),INDEX(MOEX!$A$2:$A$100,MATCH(D13,MOEX!$A$2:$A$100,1))))</f>
        <v>5</v>
      </c>
      <c r="G13" s="5">
        <f>IF(F13="—","—",INDEX(MOEX!$B$2:$B$100,MATCH(F13,MOEX!$A$2:$A$100,0)))</f>
        <v>15.42</v>
      </c>
      <c r="H13" s="3">
        <f>IF(D13&lt;MIN(MOEX!$A$2:$A$100),"—",IF(D13&gt;MAX(MOEX!$A$2:$A$100),MAX(MOEX!$A$2:$A$100),IF(COUNTIF(MOEX!$A$2:$A$100,D13)&gt;0,D13,INDEX(MOEX!$A$2:$A$100,MATCH(D13,MOEX!$A$2:$A$100,1)+1))))</f>
        <v>7</v>
      </c>
      <c r="I13" s="5">
        <f>IF(H13="—","—",INDEX(MOEX!$B$2:$B$100,MATCH(H13,MOEX!$A$2:$A$100,0)))</f>
        <v>15.57</v>
      </c>
      <c r="J13" s="6">
        <f>IF(K13="Ближайшее значение",INDEX(MOEX!$B$2:$B$100,1),IF(K13="Экстраполяция",I13+(I13-G13)/(H13-F13)*(D13-H13),IF(K13="Значение MOEX",INDEX(MOEX!$B$2:$B$100,MATCH(D13,MOEX!$A$2:$A$100,0)),G13+(D13-F13)*(I13-G13)/(H13-F13))))</f>
        <v>15.495</v>
      </c>
      <c r="K13" s="3" t="str">
        <f>IF(D13&lt;MIN(MOEX!$A$2:$A$100),"Ближайшее значение",IF(D13&gt;MAX(MOEX!$A$2:$A$100),"Экстраполяция",IF(COUNTIF(MOEX!$A$2:$A$100,D13)&gt;0,"Значение MOEX","Интерполяция")))</f>
        <v>Интерполяция</v>
      </c>
      <c r="L13" s="6">
        <f t="shared" si="0"/>
        <v>19.495</v>
      </c>
      <c r="M13" s="6">
        <f t="shared" si="1"/>
        <v>11.495</v>
      </c>
      <c r="N13" s="6">
        <f t="shared" si="2"/>
        <v>16.6906044049618</v>
      </c>
      <c r="O13" s="6">
        <f t="shared" si="3"/>
        <v>15.1614696556675</v>
      </c>
      <c r="P13" s="6">
        <f t="shared" si="4"/>
        <v>16.7591979790237</v>
      </c>
      <c r="Q13" s="6">
        <f t="shared" si="5"/>
        <v>14.2308020209763</v>
      </c>
    </row>
    <row r="14" spans="1:20">
      <c r="A14" s="3">
        <v>13</v>
      </c>
      <c r="B14" s="4" t="s">
        <v>48</v>
      </c>
      <c r="C14" s="3" t="s">
        <v>49</v>
      </c>
      <c r="D14" s="3">
        <v>7</v>
      </c>
      <c r="E14" s="3">
        <v>6.5</v>
      </c>
      <c r="F14" s="3">
        <f>IF(D14&lt;MIN(MOEX!$A$2:$A$100),"—",IF(D14&gt;MAX(MOEX!$A$2:$A$100),INDEX(MOEX!$A$2:$A$100,COUNT(MOEX!$A$2:$A$100)-1),INDEX(MOEX!$A$2:$A$100,MATCH(D14,MOEX!$A$2:$A$100,1))))</f>
        <v>7</v>
      </c>
      <c r="G14" s="5">
        <f>IF(F14="—","—",INDEX(MOEX!$B$2:$B$100,MATCH(F14,MOEX!$A$2:$A$100,0)))</f>
        <v>15.57</v>
      </c>
      <c r="H14" s="3">
        <f>IF(D14&lt;MIN(MOEX!$A$2:$A$100),"—",IF(D14&gt;MAX(MOEX!$A$2:$A$100),MAX(MOEX!$A$2:$A$100),IF(COUNTIF(MOEX!$A$2:$A$100,D14)&gt;0,D14,INDEX(MOEX!$A$2:$A$100,MATCH(D14,MOEX!$A$2:$A$100,1)+1))))</f>
        <v>7</v>
      </c>
      <c r="I14" s="5">
        <f>IF(H14="—","—",INDEX(MOEX!$B$2:$B$100,MATCH(H14,MOEX!$A$2:$A$100,0)))</f>
        <v>15.57</v>
      </c>
      <c r="J14" s="6">
        <f>IF(K14="Ближайшее значение",INDEX(MOEX!$B$2:$B$100,1),IF(K14="Экстраполяция",I14+(I14-G14)/(H14-F14)*(D14-H14),IF(K14="Значение MOEX",INDEX(MOEX!$B$2:$B$100,MATCH(D14,MOEX!$A$2:$A$100,0)),G14+(D14-F14)*(I14-G14)/(H14-F14))))</f>
        <v>15.57</v>
      </c>
      <c r="K14" s="3" t="str">
        <f>IF(D14&lt;MIN(MOEX!$A$2:$A$100),"Ближайшее значение",IF(D14&gt;MAX(MOEX!$A$2:$A$100),"Экстраполяция",IF(COUNTIF(MOEX!$A$2:$A$100,D14)&gt;0,"Значение MOEX","Интерполяция")))</f>
        <v>Значение MOEX</v>
      </c>
      <c r="L14" s="6">
        <f t="shared" si="0"/>
        <v>19.57</v>
      </c>
      <c r="M14" s="6">
        <f t="shared" si="1"/>
        <v>11.57</v>
      </c>
      <c r="N14" s="6">
        <f t="shared" si="2"/>
        <v>17.098375532535</v>
      </c>
      <c r="O14" s="6">
        <f t="shared" si="3"/>
        <v>14.9120877161843</v>
      </c>
      <c r="P14" s="6">
        <f t="shared" si="4"/>
        <v>16.554558376021</v>
      </c>
      <c r="Q14" s="6">
        <f t="shared" si="5"/>
        <v>14.585441623979</v>
      </c>
    </row>
    <row r="15" spans="1:20">
      <c r="A15" s="3">
        <v>14</v>
      </c>
      <c r="B15" s="4" t="s">
        <v>50</v>
      </c>
      <c r="C15" s="3" t="s">
        <v>51</v>
      </c>
      <c r="D15" s="3">
        <v>8</v>
      </c>
      <c r="E15" s="3">
        <v>7.5</v>
      </c>
      <c r="F15" s="3">
        <f>IF(D15&lt;MIN(MOEX!$A$2:$A$100),"—",IF(D15&gt;MAX(MOEX!$A$2:$A$100),INDEX(MOEX!$A$2:$A$100,COUNT(MOEX!$A$2:$A$100)-1),INDEX(MOEX!$A$2:$A$100,MATCH(D15,MOEX!$A$2:$A$100,1))))</f>
        <v>7</v>
      </c>
      <c r="G15" s="5">
        <f>IF(F15="—","—",INDEX(MOEX!$B$2:$B$100,MATCH(F15,MOEX!$A$2:$A$100,0)))</f>
        <v>15.57</v>
      </c>
      <c r="H15" s="3">
        <f>IF(D15&lt;MIN(MOEX!$A$2:$A$100),"—",IF(D15&gt;MAX(MOEX!$A$2:$A$100),MAX(MOEX!$A$2:$A$100),IF(COUNTIF(MOEX!$A$2:$A$100,D15)&gt;0,D15,INDEX(MOEX!$A$2:$A$100,MATCH(D15,MOEX!$A$2:$A$100,1)+1))))</f>
        <v>10</v>
      </c>
      <c r="I15" s="5">
        <f>IF(H15="—","—",INDEX(MOEX!$B$2:$B$100,MATCH(H15,MOEX!$A$2:$A$100,0)))</f>
        <v>15.69</v>
      </c>
      <c r="J15" s="6">
        <f>IF(K15="Ближайшее значение",INDEX(MOEX!$B$2:$B$100,1),IF(K15="Экстраполяция",I15+(I15-G15)/(H15-F15)*(D15-H15),IF(K15="Значение MOEX",INDEX(MOEX!$B$2:$B$100,MATCH(D15,MOEX!$A$2:$A$100,0)),G15+(D15-F15)*(I15-G15)/(H15-F15))))</f>
        <v>15.61</v>
      </c>
      <c r="K15" s="3" t="str">
        <f>IF(D15&lt;MIN(MOEX!$A$2:$A$100),"Ближайшее значение",IF(D15&gt;MAX(MOEX!$A$2:$A$100),"Экстраполяция",IF(COUNTIF(MOEX!$A$2:$A$100,D15)&gt;0,"Значение MOEX","Интерполяция")))</f>
        <v>Интерполяция</v>
      </c>
      <c r="L15" s="6">
        <f t="shared" si="0"/>
        <v>19.61</v>
      </c>
      <c r="M15" s="6">
        <f t="shared" si="1"/>
        <v>11.61</v>
      </c>
      <c r="N15" s="6">
        <f t="shared" si="2"/>
        <v>17.3975379472727</v>
      </c>
      <c r="O15" s="6">
        <f t="shared" si="3"/>
        <v>14.6994588077006</v>
      </c>
      <c r="P15" s="6">
        <f t="shared" si="4"/>
        <v>16.3767748342246</v>
      </c>
      <c r="Q15" s="6">
        <f t="shared" si="5"/>
        <v>14.8432251657754</v>
      </c>
    </row>
    <row r="16" spans="1:20">
      <c r="A16" s="3">
        <v>15</v>
      </c>
      <c r="B16" s="4" t="s">
        <v>52</v>
      </c>
      <c r="C16" s="3" t="s">
        <v>53</v>
      </c>
      <c r="D16" s="3">
        <v>9</v>
      </c>
      <c r="E16" s="3">
        <v>8.5</v>
      </c>
      <c r="F16" s="3">
        <f>IF(D16&lt;MIN(MOEX!$A$2:$A$100),"—",IF(D16&gt;MAX(MOEX!$A$2:$A$100),INDEX(MOEX!$A$2:$A$100,COUNT(MOEX!$A$2:$A$100)-1),INDEX(MOEX!$A$2:$A$100,MATCH(D16,MOEX!$A$2:$A$100,1))))</f>
        <v>7</v>
      </c>
      <c r="G16" s="5">
        <f>IF(F16="—","—",INDEX(MOEX!$B$2:$B$100,MATCH(F16,MOEX!$A$2:$A$100,0)))</f>
        <v>15.57</v>
      </c>
      <c r="H16" s="3">
        <f>IF(D16&lt;MIN(MOEX!$A$2:$A$100),"—",IF(D16&gt;MAX(MOEX!$A$2:$A$100),MAX(MOEX!$A$2:$A$100),IF(COUNTIF(MOEX!$A$2:$A$100,D16)&gt;0,D16,INDEX(MOEX!$A$2:$A$100,MATCH(D16,MOEX!$A$2:$A$100,1)+1))))</f>
        <v>10</v>
      </c>
      <c r="I16" s="5">
        <f>IF(H16="—","—",INDEX(MOEX!$B$2:$B$100,MATCH(H16,MOEX!$A$2:$A$100,0)))</f>
        <v>15.69</v>
      </c>
      <c r="J16" s="6">
        <f>IF(K16="Ближайшее значение",INDEX(MOEX!$B$2:$B$100,1),IF(K16="Экстраполяция",I16+(I16-G16)/(H16-F16)*(D16-H16),IF(K16="Значение MOEX",INDEX(MOEX!$B$2:$B$100,MATCH(D16,MOEX!$A$2:$A$100,0)),G16+(D16-F16)*(I16-G16)/(H16-F16))))</f>
        <v>15.65</v>
      </c>
      <c r="K16" s="3" t="str">
        <f>IF(D16&lt;MIN(MOEX!$A$2:$A$100),"Ближайшее значение",IF(D16&gt;MAX(MOEX!$A$2:$A$100),"Экстраполяция",IF(COUNTIF(MOEX!$A$2:$A$100,D16)&gt;0,"Значение MOEX","Интерполяция")))</f>
        <v>Интерполяция</v>
      </c>
      <c r="L16" s="6">
        <f t="shared" si="0"/>
        <v>19.65</v>
      </c>
      <c r="M16" s="6">
        <f t="shared" si="1"/>
        <v>11.65</v>
      </c>
      <c r="N16" s="6">
        <f t="shared" si="2"/>
        <v>17.639373838813</v>
      </c>
      <c r="O16" s="6">
        <f t="shared" si="3"/>
        <v>14.542711215947</v>
      </c>
      <c r="P16" s="6">
        <f t="shared" si="4"/>
        <v>16.2471648413336</v>
      </c>
      <c r="Q16" s="6">
        <f t="shared" si="5"/>
        <v>15.0528351586664</v>
      </c>
    </row>
    <row r="17" spans="1:17">
      <c r="A17" s="3">
        <v>16</v>
      </c>
      <c r="B17" s="4" t="s">
        <v>54</v>
      </c>
      <c r="C17" s="3" t="s">
        <v>55</v>
      </c>
      <c r="D17" s="3">
        <v>10</v>
      </c>
      <c r="E17" s="3">
        <v>9.5</v>
      </c>
      <c r="F17" s="3">
        <f>IF(D17&lt;MIN(MOEX!$A$2:$A$100),"—",IF(D17&gt;MAX(MOEX!$A$2:$A$100),INDEX(MOEX!$A$2:$A$100,COUNT(MOEX!$A$2:$A$100)-1),INDEX(MOEX!$A$2:$A$100,MATCH(D17,MOEX!$A$2:$A$100,1))))</f>
        <v>10</v>
      </c>
      <c r="G17" s="5">
        <f>IF(F17="—","—",INDEX(MOEX!$B$2:$B$100,MATCH(F17,MOEX!$A$2:$A$100,0)))</f>
        <v>15.69</v>
      </c>
      <c r="H17" s="3">
        <f>IF(D17&lt;MIN(MOEX!$A$2:$A$100),"—",IF(D17&gt;MAX(MOEX!$A$2:$A$100),MAX(MOEX!$A$2:$A$100),IF(COUNTIF(MOEX!$A$2:$A$100,D17)&gt;0,D17,INDEX(MOEX!$A$2:$A$100,MATCH(D17,MOEX!$A$2:$A$100,1)+1))))</f>
        <v>10</v>
      </c>
      <c r="I17" s="5">
        <f>IF(H17="—","—",INDEX(MOEX!$B$2:$B$100,MATCH(H17,MOEX!$A$2:$A$100,0)))</f>
        <v>15.69</v>
      </c>
      <c r="J17" s="6">
        <f>IF(K17="Ближайшее значение",INDEX(MOEX!$B$2:$B$100,1),IF(K17="Экстраполяция",I17+(I17-G17)/(H17-F17)*(D17-H17),IF(K17="Значение MOEX",INDEX(MOEX!$B$2:$B$100,MATCH(D17,MOEX!$A$2:$A$100,0)),G17+(D17-F17)*(I17-G17)/(H17-F17))))</f>
        <v>15.69</v>
      </c>
      <c r="K17" s="3" t="str">
        <f>IF(D17&lt;MIN(MOEX!$A$2:$A$100),"Ближайшее значение",IF(D17&gt;MAX(MOEX!$A$2:$A$100),"Экстраполяция",IF(COUNTIF(MOEX!$A$2:$A$100,D17)&gt;0,"Значение MOEX","Интерполяция")))</f>
        <v>Значение MOEX</v>
      </c>
      <c r="L17" s="6">
        <f t="shared" si="0"/>
        <v>19.69</v>
      </c>
      <c r="M17" s="6">
        <f t="shared" si="1"/>
        <v>11.69</v>
      </c>
      <c r="N17" s="6">
        <f t="shared" si="2"/>
        <v>17.8365637891966</v>
      </c>
      <c r="O17" s="6">
        <f t="shared" si="3"/>
        <v>14.4294840374218</v>
      </c>
      <c r="P17" s="6">
        <f t="shared" si="4"/>
        <v>16.1550724460533</v>
      </c>
      <c r="Q17" s="6">
        <f t="shared" si="5"/>
        <v>15.2249275539467</v>
      </c>
    </row>
    <row r="18" spans="1:17">
      <c r="A18" s="3">
        <v>17</v>
      </c>
      <c r="B18" s="4" t="s">
        <v>56</v>
      </c>
      <c r="C18" s="3" t="s">
        <v>57</v>
      </c>
      <c r="D18" s="3">
        <v>15</v>
      </c>
      <c r="E18" s="3">
        <v>12.5</v>
      </c>
      <c r="F18" s="3">
        <f>IF(D18&lt;MIN(MOEX!$A$2:$A$100),"—",IF(D18&gt;MAX(MOEX!$A$2:$A$100),INDEX(MOEX!$A$2:$A$100,COUNT(MOEX!$A$2:$A$100)-1),INDEX(MOEX!$A$2:$A$100,MATCH(D18,MOEX!$A$2:$A$100,1))))</f>
        <v>15</v>
      </c>
      <c r="G18" s="5">
        <f>IF(F18="—","—",INDEX(MOEX!$B$2:$B$100,MATCH(F18,MOEX!$A$2:$A$100,0)))</f>
        <v>15.84</v>
      </c>
      <c r="H18" s="3">
        <f>IF(D18&lt;MIN(MOEX!$A$2:$A$100),"—",IF(D18&gt;MAX(MOEX!$A$2:$A$100),MAX(MOEX!$A$2:$A$100),IF(COUNTIF(MOEX!$A$2:$A$100,D18)&gt;0,D18,INDEX(MOEX!$A$2:$A$100,MATCH(D18,MOEX!$A$2:$A$100,1)+1))))</f>
        <v>15</v>
      </c>
      <c r="I18" s="5">
        <f>IF(H18="—","—",INDEX(MOEX!$B$2:$B$100,MATCH(H18,MOEX!$A$2:$A$100,0)))</f>
        <v>15.84</v>
      </c>
      <c r="J18" s="6">
        <f>IF(K18="Ближайшее значение",INDEX(MOEX!$B$2:$B$100,1),IF(K18="Экстраполяция",I18+(I18-G18)/(H18-F18)*(D18-H18),IF(K18="Значение MOEX",INDEX(MOEX!$B$2:$B$100,MATCH(D18,MOEX!$A$2:$A$100,0)),G18+(D18-F18)*(I18-G18)/(H18-F18))))</f>
        <v>15.84</v>
      </c>
      <c r="K18" s="3" t="str">
        <f>IF(D18&lt;MIN(MOEX!$A$2:$A$100),"Ближайшее значение",IF(D18&gt;MAX(MOEX!$A$2:$A$100),"Экстраполяция",IF(COUNTIF(MOEX!$A$2:$A$100,D18)&gt;0,"Значение MOEX","Интерполяция")))</f>
        <v>Значение MOEX</v>
      </c>
      <c r="L18" s="6">
        <f t="shared" si="0"/>
        <v>19.84</v>
      </c>
      <c r="M18" s="6">
        <f t="shared" si="1"/>
        <v>11.84</v>
      </c>
      <c r="N18" s="6">
        <f t="shared" si="2"/>
        <v>18.2785752449407</v>
      </c>
      <c r="O18" s="6">
        <f t="shared" si="3"/>
        <v>14.2948342150158</v>
      </c>
      <c r="P18" s="6">
        <f t="shared" si="4"/>
        <v>16.059684668117</v>
      </c>
      <c r="Q18" s="6">
        <f t="shared" si="5"/>
        <v>15.620315331883</v>
      </c>
    </row>
    <row r="19" spans="1:17">
      <c r="A19" s="3">
        <v>18</v>
      </c>
      <c r="B19" s="4" t="s">
        <v>58</v>
      </c>
      <c r="C19" s="3" t="s">
        <v>59</v>
      </c>
      <c r="D19" s="3">
        <v>20</v>
      </c>
      <c r="E19" s="3">
        <v>17.5</v>
      </c>
      <c r="F19" s="3">
        <f>IF(D19&lt;MIN(MOEX!$A$2:$A$100),"—",IF(D19&gt;MAX(MOEX!$A$2:$A$100),INDEX(MOEX!$A$2:$A$100,COUNT(MOEX!$A$2:$A$100)-1),INDEX(MOEX!$A$2:$A$100,MATCH(D19,MOEX!$A$2:$A$100,1))))</f>
        <v>20</v>
      </c>
      <c r="G19" s="5">
        <f>IF(F19="—","—",INDEX(MOEX!$B$2:$B$100,MATCH(F19,MOEX!$A$2:$A$100,0)))</f>
        <v>15.95</v>
      </c>
      <c r="H19" s="3">
        <f>IF(D19&lt;MIN(MOEX!$A$2:$A$100),"—",IF(D19&gt;MAX(MOEX!$A$2:$A$100),MAX(MOEX!$A$2:$A$100),IF(COUNTIF(MOEX!$A$2:$A$100,D19)&gt;0,D19,INDEX(MOEX!$A$2:$A$100,MATCH(D19,MOEX!$A$2:$A$100,1)+1))))</f>
        <v>20</v>
      </c>
      <c r="I19" s="5">
        <f>IF(H19="—","—",INDEX(MOEX!$B$2:$B$100,MATCH(H19,MOEX!$A$2:$A$100,0)))</f>
        <v>15.95</v>
      </c>
      <c r="J19" s="6">
        <f>IF(K19="Ближайшее значение",INDEX(MOEX!$B$2:$B$100,1),IF(K19="Экстраполяция",I19+(I19-G19)/(H19-F19)*(D19-H19),IF(K19="Значение MOEX",INDEX(MOEX!$B$2:$B$100,MATCH(D19,MOEX!$A$2:$A$100,0)),G19+(D19-F19)*(I19-G19)/(H19-F19))))</f>
        <v>15.95</v>
      </c>
      <c r="K19" s="3" t="str">
        <f>IF(D19&lt;MIN(MOEX!$A$2:$A$100),"Ближайшее значение",IF(D19&gt;MAX(MOEX!$A$2:$A$100),"Экстраполяция",IF(COUNTIF(MOEX!$A$2:$A$100,D19)&gt;0,"Значение MOEX","Интерполяция")))</f>
        <v>Значение MOEX</v>
      </c>
      <c r="L19" s="6">
        <f t="shared" si="0"/>
        <v>19.95</v>
      </c>
      <c r="M19" s="6">
        <f t="shared" si="1"/>
        <v>11.95</v>
      </c>
      <c r="N19" s="6">
        <f t="shared" si="2"/>
        <v>18.5751005536575</v>
      </c>
      <c r="O19" s="6">
        <f t="shared" si="3"/>
        <v>14.2230112250061</v>
      </c>
      <c r="P19" s="6">
        <f t="shared" si="4"/>
        <v>16.0129407112122</v>
      </c>
      <c r="Q19" s="6">
        <f t="shared" si="5"/>
        <v>15.8870592887878</v>
      </c>
    </row>
    <row r="20" spans="1:17">
      <c r="A20" s="3">
        <v>19</v>
      </c>
      <c r="B20" s="4" t="s">
        <v>60</v>
      </c>
      <c r="C20" s="3" t="s">
        <v>61</v>
      </c>
      <c r="D20" s="3">
        <v>30</v>
      </c>
      <c r="E20" s="3">
        <v>25</v>
      </c>
      <c r="F20" s="3">
        <f>IF(D20&lt;MIN(MOEX!$A$2:$A$100),"—",IF(D20&gt;MAX(MOEX!$A$2:$A$100),INDEX(MOEX!$A$2:$A$100,COUNT(MOEX!$A$2:$A$100)-1),INDEX(MOEX!$A$2:$A$100,MATCH(D20,MOEX!$A$2:$A$100,1))))</f>
        <v>15</v>
      </c>
      <c r="G20" s="5">
        <f>IF(F20="—","—",INDEX(MOEX!$B$2:$B$100,MATCH(F20,MOEX!$A$2:$A$100,0)))</f>
        <v>15.84</v>
      </c>
      <c r="H20" s="3">
        <f>IF(D20&lt;MIN(MOEX!$A$2:$A$100),"—",IF(D20&gt;MAX(MOEX!$A$2:$A$100),MAX(MOEX!$A$2:$A$100),IF(COUNTIF(MOEX!$A$2:$A$100,D20)&gt;0,D20,INDEX(MOEX!$A$2:$A$100,MATCH(D20,MOEX!$A$2:$A$100,1)+1))))</f>
        <v>20</v>
      </c>
      <c r="I20" s="5">
        <f>IF(H20="—","—",INDEX(MOEX!$B$2:$B$100,MATCH(H20,MOEX!$A$2:$A$100,0)))</f>
        <v>15.95</v>
      </c>
      <c r="J20" s="6">
        <f>IF(K20="Ближайшее значение",INDEX(MOEX!$B$2:$B$100,1),IF(K20="Экстраполяция",I20+(I20-G20)/(H20-F20)*(D20-H20),IF(K20="Значение MOEX",INDEX(MOEX!$B$2:$B$100,MATCH(D20,MOEX!$A$2:$A$100,0)),G20+(D20-F20)*(I20-G20)/(H20-F20))))</f>
        <v>16.17</v>
      </c>
      <c r="K20" s="3" t="str">
        <f>IF(D20&lt;MIN(MOEX!$A$2:$A$100),"Ближайшее значение",IF(D20&gt;MAX(MOEX!$A$2:$A$100),"Экстраполяция",IF(COUNTIF(MOEX!$A$2:$A$100,D20)&gt;0,"Значение MOEX","Интерполяция")))</f>
        <v>Экстраполяция</v>
      </c>
      <c r="L20" s="6">
        <f t="shared" si="0"/>
        <v>20.17</v>
      </c>
      <c r="M20" s="6">
        <f t="shared" si="1"/>
        <v>12.17</v>
      </c>
      <c r="N20" s="6">
        <f t="shared" si="2"/>
        <v>18.8585137978894</v>
      </c>
      <c r="O20" s="6">
        <f t="shared" si="3"/>
        <v>14.3811966339901</v>
      </c>
      <c r="P20" s="6">
        <f t="shared" si="4"/>
        <v>16.1796522706811</v>
      </c>
      <c r="Q20" s="6">
        <f t="shared" si="5"/>
        <v>16.1603477293189</v>
      </c>
    </row>
    <row r="23" spans="1:17">
      <c r="C23" s="8"/>
      <c r="D23" s="12" t="s">
        <v>62</v>
      </c>
    </row>
    <row r="24" spans="1:17">
      <c r="C24" s="9"/>
      <c r="D24" s="10" t="s">
        <v>63</v>
      </c>
    </row>
    <row r="25" spans="1:17">
      <c r="C25" s="11"/>
      <c r="D25" s="10" t="s">
        <v>64</v>
      </c>
    </row>
  </sheetData>
  <conditionalFormatting sqref="K2:K20">
    <cfRule type="expression" dxfId="0" priority="1">
      <formula>$K2="Ближайшее значение"</formula>
    </cfRule>
    <cfRule type="expression" dxfId="1" priority="2">
      <formula>$K2="Интерполяция"</formula>
    </cfRule>
    <cfRule type="expression" dxfId="2" priority="3">
      <formula>$K2="Экстраполяция"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MOEX</vt:lpstr>
      <vt:lpstr>базовая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Astrages</cp:lastModifiedBy>
  <dcterms:created xsi:type="dcterms:W3CDTF">2026-10-12T13:11:00Z</dcterms:created>
  <dcterms:modified xsi:type="dcterms:W3CDTF">2026-10-13T17:11:01Z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6E9A3DA98E1F4B72902D5EE5943CDFA7_13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