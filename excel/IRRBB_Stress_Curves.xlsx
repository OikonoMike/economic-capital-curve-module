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OEX" sheetId="1" state="visible" r:id="rId3"/>
    <sheet name="базовая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<sst xmlns="http://schemas.openxmlformats.org/spreadsheetml/2006/main" count="21" uniqueCount="21">
  <si>
    <t xml:space="preserve">Срок, лет</t>
  </si>
  <si>
    <t xml:space="preserve">Доходность, %</t>
  </si>
  <si>
    <t xml:space="preserve">№</t>
  </si>
  <si>
    <t xml:space="preserve">Т, лет</t>
  </si>
  <si>
    <t xml:space="preserve">Нижний срок MOEX</t>
  </si>
  <si>
    <t xml:space="preserve">Нижняя ставка, %</t>
  </si>
  <si>
    <t xml:space="preserve">Верхний срок MOEX</t>
  </si>
  <si>
    <t xml:space="preserve">Верхняя ставка, %</t>
  </si>
  <si>
    <t xml:space="preserve">БС, %</t>
  </si>
  <si>
    <t xml:space="preserve">Метод</t>
  </si>
  <si>
    <t xml:space="preserve">Сдвиг вверх, %</t>
  </si>
  <si>
    <t xml:space="preserve">Сдвиг вниз %</t>
  </si>
  <si>
    <t xml:space="preserve">Увеличение наклона, %</t>
  </si>
  <si>
    <t xml:space="preserve">Уменьшение наклона, %</t>
  </si>
  <si>
    <t xml:space="preserve">Рост коротких, %</t>
  </si>
  <si>
    <t xml:space="preserve">Снижение коротких, %</t>
  </si>
  <si>
    <t xml:space="preserve">Параметры рубля</t>
  </si>
  <si>
    <t xml:space="preserve">ΔПар</t>
  </si>
  <si>
    <t xml:space="preserve">СКС</t>
  </si>
  <si>
    <t xml:space="preserve">СДС</t>
  </si>
  <si>
    <t xml:space="preserve">t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</si>
</sst>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77BC65"/>
        <bgColor rgb="FF99CC00"/>
      </patternFill>
    </fill>
    <fill>
      <patternFill patternType="solid">
        <fgColor rgb="FF729FCF"/>
        <bgColor rgb="FF808080"/>
      </patternFill>
    </fill>
    <fill>
      <patternFill patternType="solid">
        <fgColor rgb="FFFFB66C"/>
        <bgColor rgb="FFFF99CC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/>
      <top/>
      <bottom style="thin"/>
      <diagonal/>
    </border>
  </borders>
  <cellStyleXfs count="2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2" borderId="0" applyFont="true" applyBorder="false" applyAlignment="true" applyProtection="false">
      <alignment horizontal="general" vertical="bottom" textRotation="0" wrapText="false" indent="0" shrinkToFit="false"/>
    </xf>
    <xf numFmtId="164" fontId="0" fillId="3" borderId="0" applyFont="true" applyBorder="false" applyAlignment="true" applyProtection="false">
      <alignment horizontal="general" vertical="bottom" textRotation="0" wrapText="false" indent="0" shrinkToFit="false"/>
    </xf>
    <xf numFmtId="164" fontId="0" fillId="4" borderId="0" applyFont="true" applyBorder="false" applyAlignment="true" applyProtection="false">
      <alignment horizontal="general" vertical="bottom" textRotation="0" wrapText="false" indent="0" shrinkToFit="false"/>
    </xf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Untitled1" xfId="20"/>
    <cellStyle name="Untitled2" xfId="21"/>
    <cellStyle name="Untitled3" xfId="22"/>
  </cellStyles>
  <dxfs count="5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ont>
        <name val="Calibri"/>
        <charset val="1"/>
        <family val="2"/>
        <color rgb="FF000000"/>
        <sz val="11"/>
      </font>
      <fill>
        <patternFill>
          <bgColor rgb="FF77BC65"/>
        </patternFill>
      </fill>
    </dxf>
    <dxf>
      <font>
        <name val="Calibri"/>
        <charset val="1"/>
        <family val="2"/>
        <color rgb="FF000000"/>
        <sz val="11"/>
      </font>
      <fill>
        <patternFill>
          <bgColor rgb="FF729FCF"/>
        </patternFill>
      </fill>
    </dxf>
    <dxf>
      <font>
        <name val="Calibri"/>
        <charset val="1"/>
        <family val="2"/>
        <color rgb="FF000000"/>
        <sz val="11"/>
      </font>
      <fill>
        <patternFill>
          <bgColor rgb="FFFFB66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729FC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B66C"/>
      <rgbColor rgb="FF3366FF"/>
      <rgbColor rgb="FF33CCCC"/>
      <rgbColor rgb="FF99CC00"/>
      <rgbColor rgb="FFFFCC00"/>
      <rgbColor rgb="FFFF9900"/>
      <rgbColor rgb="FFFF6600"/>
      <rgbColor rgb="FF666699"/>
      <rgbColor rgb="FF77BC65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2"/>
  <sheetViews>
    <sheetView showFormulas="false" showGridLines="true" showRowColHeaders="true" showZeros="true" rightToLeft="false" tabSelected="true" showOutlineSymbols="true" defaultGridColor="true" view="normal" topLeftCell="A1" colorId="64" zoomScale="78" zoomScaleNormal="78" zoomScalePageLayoutView="100" workbookViewId="0">
      <selection pane="topLeft" activeCell="H22" activeCellId="0" sqref="H22"/>
    </sheetView>
  </sheetViews>
  <sheetFormatPr defaultColWidth="10.16015625" defaultRowHeight="12.8" zeroHeight="false" outlineLevelRow="0" outlineLevelCol="0"/>
  <sheetData>
    <row r="1" customFormat="false" ht="12.8" hidden="false" customHeight="false" outlineLevel="0" collapsed="false">
      <c r="A1" s="0" t="s">
        <v>0</v>
      </c>
      <c r="B1" s="0" t="s">
        <v>1</v>
      </c>
    </row>
    <row r="2" customFormat="false" ht="13.8" hidden="false" customHeight="false" outlineLevel="0" collapsed="false">
      <c r="A2" s="0" t="n">
        <v>0.0028</v>
      </c>
      <c r="B2" s="0" t="n">
        <v>13.827312</v>
      </c>
    </row>
    <row r="3" customFormat="false" ht="13.8" hidden="false" customHeight="false" outlineLevel="0" collapsed="false">
      <c r="A3" s="0" t="n">
        <v>0.0417</v>
      </c>
      <c r="B3" s="0" t="n">
        <v>13.789968</v>
      </c>
    </row>
    <row r="4" customFormat="false" ht="13.8" hidden="false" customHeight="false" outlineLevel="0" collapsed="false">
      <c r="A4" s="0" t="n">
        <v>0.1667</v>
      </c>
      <c r="B4" s="0" t="n">
        <v>13.669968</v>
      </c>
    </row>
    <row r="5" customFormat="false" ht="13.8" hidden="false" customHeight="false" outlineLevel="0" collapsed="false">
      <c r="A5" s="0" t="n">
        <v>0.375</v>
      </c>
      <c r="B5" s="0" t="n">
        <v>13.47</v>
      </c>
    </row>
    <row r="6" customFormat="false" ht="13.8" hidden="false" customHeight="false" outlineLevel="0" collapsed="false">
      <c r="A6" s="0" t="n">
        <v>0.625</v>
      </c>
      <c r="B6" s="0" t="n">
        <v>13.385</v>
      </c>
    </row>
    <row r="7" customFormat="false" ht="13.8" hidden="false" customHeight="false" outlineLevel="0" collapsed="false">
      <c r="A7" s="0" t="n">
        <v>0.875</v>
      </c>
      <c r="B7" s="0" t="n">
        <v>13.525</v>
      </c>
    </row>
    <row r="8" customFormat="false" ht="13.8" hidden="false" customHeight="false" outlineLevel="0" collapsed="false">
      <c r="A8" s="0" t="n">
        <v>1.25</v>
      </c>
      <c r="B8" s="0" t="n">
        <v>13.8675</v>
      </c>
    </row>
    <row r="9" customFormat="false" ht="13.8" hidden="false" customHeight="false" outlineLevel="0" collapsed="false">
      <c r="A9" s="0" t="n">
        <v>1.75</v>
      </c>
      <c r="B9" s="0" t="n">
        <v>14.3425</v>
      </c>
    </row>
    <row r="10" customFormat="false" ht="13.8" hidden="false" customHeight="false" outlineLevel="0" collapsed="false">
      <c r="A10" s="0" t="n">
        <v>2.5</v>
      </c>
      <c r="B10" s="0" t="n">
        <v>14.82</v>
      </c>
    </row>
    <row r="11" customFormat="false" ht="13.8" hidden="false" customHeight="false" outlineLevel="0" collapsed="false">
      <c r="A11" s="0" t="n">
        <v>3.5</v>
      </c>
      <c r="B11" s="0" t="n">
        <v>15.15</v>
      </c>
    </row>
    <row r="12" customFormat="false" ht="13.8" hidden="false" customHeight="false" outlineLevel="0" collapsed="false">
      <c r="A12" s="0" t="n">
        <v>4.5</v>
      </c>
      <c r="B12" s="0" t="n">
        <v>15.33</v>
      </c>
    </row>
    <row r="13" customFormat="false" ht="13.8" hidden="false" customHeight="false" outlineLevel="0" collapsed="false">
      <c r="A13" s="0" t="n">
        <v>5.5</v>
      </c>
      <c r="B13" s="0" t="n">
        <v>15.4575</v>
      </c>
    </row>
    <row r="14" customFormat="false" ht="13.8" hidden="false" customHeight="false" outlineLevel="0" collapsed="false">
      <c r="A14" s="0" t="n">
        <v>6.5</v>
      </c>
      <c r="B14" s="0" t="n">
        <v>15.5325</v>
      </c>
    </row>
    <row r="15" customFormat="false" ht="13.8" hidden="false" customHeight="false" outlineLevel="0" collapsed="false">
      <c r="A15" s="0" t="n">
        <v>7.5</v>
      </c>
      <c r="B15" s="0" t="n">
        <v>15.59</v>
      </c>
    </row>
    <row r="16" customFormat="false" ht="13.8" hidden="false" customHeight="false" outlineLevel="0" collapsed="false">
      <c r="A16" s="0" t="n">
        <v>8.5</v>
      </c>
      <c r="B16" s="0" t="n">
        <v>15.63</v>
      </c>
    </row>
    <row r="17" customFormat="false" ht="13.8" hidden="false" customHeight="false" outlineLevel="0" collapsed="false">
      <c r="A17" s="0" t="n">
        <v>9.5</v>
      </c>
      <c r="B17" s="0" t="n">
        <v>15.67</v>
      </c>
    </row>
    <row r="18" customFormat="false" ht="13.8" hidden="false" customHeight="false" outlineLevel="0" collapsed="false">
      <c r="A18" s="0" t="n">
        <v>12.5</v>
      </c>
      <c r="B18" s="0" t="n">
        <v>15.765</v>
      </c>
    </row>
    <row r="19" customFormat="false" ht="13.8" hidden="false" customHeight="false" outlineLevel="0" collapsed="false">
      <c r="A19" s="0" t="n">
        <v>17.5</v>
      </c>
      <c r="B19" s="0" t="n">
        <v>15.895</v>
      </c>
    </row>
    <row r="20" customFormat="false" ht="13.8" hidden="false" customHeight="false" outlineLevel="0" collapsed="false">
      <c r="A20" s="0" t="n">
        <v>25</v>
      </c>
      <c r="B20" s="0" t="n">
        <v>16.06</v>
      </c>
    </row>
    <row r="22" customFormat="false" ht="13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0"/>
  <sheetViews>
    <sheetView showFormulas="false" showGridLines="true" showRowColHeaders="true" showZeros="true" rightToLeft="false" tabSelected="false" showOutlineSymbols="true" defaultGridColor="true" view="normal" topLeftCell="A1" colorId="64" zoomScale="78" zoomScaleNormal="78" zoomScalePageLayoutView="100" workbookViewId="0">
      <selection pane="topLeft" activeCell="N26" activeCellId="0" sqref="N26"/>
    </sheetView>
  </sheetViews>
  <sheetFormatPr defaultColWidth="10.16015625" defaultRowHeight="12.8" zeroHeight="false" outlineLevelRow="0" outlineLevelCol="0"/>
  <cols>
    <col collapsed="false" customWidth="true" hidden="false" outlineLevel="0" max="3" min="3" style="0" width="19.9"/>
    <col collapsed="false" customWidth="true" hidden="false" outlineLevel="0" max="4" min="4" style="0" width="17.09"/>
    <col collapsed="false" customWidth="true" hidden="false" outlineLevel="0" max="5" min="5" style="0" width="17.98"/>
    <col collapsed="false" customWidth="true" hidden="false" outlineLevel="0" max="6" min="6" style="0" width="16.63"/>
    <col collapsed="false" customWidth="true" hidden="false" outlineLevel="0" max="8" min="8" style="0" width="18.6"/>
    <col collapsed="false" customWidth="true" hidden="false" outlineLevel="0" max="9" min="9" style="0" width="13.99"/>
    <col collapsed="false" customWidth="true" hidden="false" outlineLevel="0" max="10" min="10" style="0" width="12.2"/>
    <col collapsed="false" customWidth="true" hidden="false" outlineLevel="0" max="11" min="11" style="0" width="21.81"/>
    <col collapsed="false" customWidth="true" hidden="false" outlineLevel="0" max="12" min="12" style="0" width="22.32"/>
    <col collapsed="false" customWidth="true" hidden="false" outlineLevel="0" max="13" min="13" style="0" width="15.51"/>
    <col collapsed="false" customWidth="true" hidden="false" outlineLevel="0" max="14" min="14" style="0" width="20.35"/>
  </cols>
  <sheetData>
    <row r="1" customFormat="false" ht="31.55" hidden="false" customHeight="false" outlineLevel="0" collapsed="false">
      <c r="A1" s="1" t="s">
        <v>2</v>
      </c>
      <c r="B1" s="2" t="s">
        <v>3</v>
      </c>
      <c r="C1" s="2" t="s">
        <v>4</v>
      </c>
      <c r="D1" s="2" t="s">
        <v>5</v>
      </c>
      <c r="E1" s="2" t="s">
        <v>6</v>
      </c>
      <c r="F1" s="2" t="s">
        <v>7</v>
      </c>
      <c r="G1" s="2" t="s">
        <v>8</v>
      </c>
      <c r="H1" s="2" t="s">
        <v>9</v>
      </c>
      <c r="I1" s="2" t="s">
        <v>10</v>
      </c>
      <c r="J1" s="2" t="s">
        <v>11</v>
      </c>
      <c r="K1" s="2" t="s">
        <v>12</v>
      </c>
      <c r="L1" s="2" t="s">
        <v>13</v>
      </c>
      <c r="M1" s="2" t="s">
        <v>14</v>
      </c>
      <c r="N1" s="3" t="s">
        <v>15</v>
      </c>
      <c r="P1" s="1" t="s">
        <v>16</v>
      </c>
      <c r="Q1" s="3"/>
    </row>
    <row r="2" customFormat="false" ht="16.25" hidden="false" customHeight="false" outlineLevel="0" collapsed="false">
      <c r="A2" s="4" t="n">
        <v>1</v>
      </c>
      <c r="B2" s="0" t="n">
        <v>0.0028</v>
      </c>
      <c r="C2" s="0" t="n">
        <f aca="false">IF(B2&lt;MIN(MOEX!$A$2:$A$100),MOEX!$A$2,INDEX(MOEX!$A$2:$A$100,MATCH(B2,MOEX!$A$2:$A$100,1)))</f>
        <v>0.0028</v>
      </c>
      <c r="D2" s="0" t="n">
        <f aca="false">INDEX(MOEX!$B$2:$B$100,MATCH(C2,MOEX!$A$2:$A$100,0))</f>
        <v>13.827312</v>
      </c>
      <c r="E2" s="0" t="n">
        <f aca="false">IF(B2&gt;=MAX(MOEX!$A$2:$A$100),MAX(MOEX!$A$2:$A$100),INDEX(MOEX!$A$2:$A$100,MATCH(B2,MOEX!$A$2:$A$100,1)+1))</f>
        <v>0.0417</v>
      </c>
      <c r="F2" s="0" t="n">
        <f aca="false">INDEX(MOEX!$B$2:$B$100,MATCH(E2,MOEX!$A$2:$A$100,0))</f>
        <v>13.789968</v>
      </c>
      <c r="G2" s="0" t="n">
        <f aca="false">IF(B2&lt;MIN(MOEX!$A$2:$A$100),INDEX(MOEX!$B$2:$B$100,1),IF(B2&gt;MAX(MOEX!$A$2:$A$100),INDEX(MOEX!$B$2:$B$100,COUNT(MOEX!$B$2:$B$100)),IF(COUNTIF(MOEX!$A$2:$A$100,B2)&gt;0,INDEX(MOEX!$B$2:$B$100,MATCH(B2,MOEX!$A$2:$A$100,0)),D2+(B2-C2)*(F2-D2)/(E2-C2))))</f>
        <v>13.827312</v>
      </c>
      <c r="H2" s="0" t="str">
        <f aca="false">IF(OR(B2&lt;MIN(MOEX!$A$2:$A$100),B2&gt;MAX(MOEX!$A$2:$A$100)),"Ближайшее значение",IF(COUNTIF(MOEX!$A$2:$A$100,B2)&gt;0,"Точное совпадение","Интерполяция"))</f>
        <v>Точное совпадение</v>
      </c>
      <c r="I2" s="0" t="n">
        <f aca="false">G2+$Q$2</f>
        <v>17.827312</v>
      </c>
      <c r="J2" s="0" t="n">
        <f aca="false">G2-$Q$2</f>
        <v>9.827312</v>
      </c>
      <c r="K2" s="0" t="n">
        <f aca="false">G2-0.65*$Q$3*EXP(-B2/$Q$5)+0.9*$Q$4*(1-EXP(-B2/$Q$5))</f>
        <v>10.5814755425901</v>
      </c>
      <c r="L2" s="0" t="n">
        <f aca="false">G2+0.8*$Q$3*EXP(-B2/$Q$5)-0.6*$Q$4*(1-EXP(-B2/$Q$5))</f>
        <v>17.8232534206685</v>
      </c>
      <c r="M2" s="0" t="n">
        <f aca="false">G2+$Q$3*EXP(-B2/$Q$5)</f>
        <v>18.8238132247142</v>
      </c>
      <c r="N2" s="5" t="n">
        <f aca="false">G2-$Q$3*EXP(-B2/$Q$5)</f>
        <v>8.83081077528578</v>
      </c>
      <c r="P2" s="6" t="s">
        <v>17</v>
      </c>
      <c r="Q2" s="7" t="n">
        <v>4</v>
      </c>
    </row>
    <row r="3" customFormat="false" ht="16.25" hidden="false" customHeight="false" outlineLevel="0" collapsed="false">
      <c r="A3" s="4" t="n">
        <v>2</v>
      </c>
      <c r="B3" s="0" t="n">
        <v>0.0417</v>
      </c>
      <c r="C3" s="0" t="n">
        <f aca="false">IF(B3&lt;MIN(MOEX!$A$2:$A$100),MOEX!$A$2,INDEX(MOEX!$A$2:$A$100,MATCH(B3,MOEX!$A$2:$A$100,1)))</f>
        <v>0.0417</v>
      </c>
      <c r="D3" s="0" t="n">
        <f aca="false">INDEX(MOEX!$B$2:$B$100,MATCH(C3,MOEX!$A$2:$A$100,0))</f>
        <v>13.789968</v>
      </c>
      <c r="E3" s="0" t="n">
        <f aca="false">IF(B3&gt;=MAX(MOEX!$A$2:$A$100),MAX(MOEX!$A$2:$A$100),INDEX(MOEX!$A$2:$A$100,MATCH(B3,MOEX!$A$2:$A$100,1)+1))</f>
        <v>0.1667</v>
      </c>
      <c r="F3" s="0" t="n">
        <f aca="false">INDEX(MOEX!$B$2:$B$100,MATCH(E3,MOEX!$A$2:$A$100,0))</f>
        <v>13.669968</v>
      </c>
      <c r="G3" s="0" t="n">
        <f aca="false">IF(B3&lt;MIN(MOEX!$A$2:$A$100),INDEX(MOEX!$B$2:$B$100,1),IF(B3&gt;MAX(MOEX!$A$2:$A$100),INDEX(MOEX!$B$2:$B$100,COUNT(MOEX!$B$2:$B$100)),IF(COUNTIF(MOEX!$A$2:$A$100,B3)&gt;0,INDEX(MOEX!$B$2:$B$100,MATCH(B3,MOEX!$A$2:$A$100,0)),D3+(B3-C3)*(F3-D3)/(E3-C3))))</f>
        <v>13.789968</v>
      </c>
      <c r="H3" s="0" t="str">
        <f aca="false">IF(OR(B3&lt;MIN(MOEX!$A$2:$A$100),B3&gt;MAX(MOEX!$A$2:$A$100)),"Ближайшее значение",IF(COUNTIF(MOEX!$A$2:$A$100,B3)&gt;0,"Точное совпадение","Интерполяция"))</f>
        <v>Точное совпадение</v>
      </c>
      <c r="I3" s="0" t="n">
        <f aca="false">G3+$Q$2</f>
        <v>17.789968</v>
      </c>
      <c r="J3" s="0" t="n">
        <f aca="false">G3-$Q$2</f>
        <v>9.789968</v>
      </c>
      <c r="K3" s="0" t="n">
        <f aca="false">G3-0.65*$Q$3*EXP(-B3/$Q$5)+0.9*$Q$4*(1-EXP(-B3/$Q$5))</f>
        <v>10.6016745457723</v>
      </c>
      <c r="L3" s="0" t="n">
        <f aca="false">G3+0.8*$Q$3*EXP(-B3/$Q$5)-0.6*$Q$4*(1-EXP(-B3/$Q$5))</f>
        <v>17.729817081432</v>
      </c>
      <c r="M3" s="0" t="n">
        <f aca="false">G3+$Q$3*EXP(-B3/$Q$5)</f>
        <v>18.7381137598552</v>
      </c>
      <c r="N3" s="5" t="n">
        <f aca="false">G3-$Q$3*EXP(-B3/$Q$5)</f>
        <v>8.84182224014483</v>
      </c>
      <c r="P3" s="6" t="s">
        <v>18</v>
      </c>
      <c r="Q3" s="7" t="n">
        <v>5</v>
      </c>
    </row>
    <row r="4" customFormat="false" ht="16.25" hidden="false" customHeight="false" outlineLevel="0" collapsed="false">
      <c r="A4" s="4" t="n">
        <v>3</v>
      </c>
      <c r="B4" s="0" t="n">
        <v>0.1667</v>
      </c>
      <c r="C4" s="0" t="n">
        <f aca="false">IF(B4&lt;MIN(MOEX!$A$2:$A$100),MOEX!$A$2,INDEX(MOEX!$A$2:$A$100,MATCH(B4,MOEX!$A$2:$A$100,1)))</f>
        <v>0.1667</v>
      </c>
      <c r="D4" s="0" t="n">
        <f aca="false">INDEX(MOEX!$B$2:$B$100,MATCH(C4,MOEX!$A$2:$A$100,0))</f>
        <v>13.669968</v>
      </c>
      <c r="E4" s="0" t="n">
        <f aca="false">IF(B4&gt;=MAX(MOEX!$A$2:$A$100),MAX(MOEX!$A$2:$A$100),INDEX(MOEX!$A$2:$A$100,MATCH(B4,MOEX!$A$2:$A$100,1)+1))</f>
        <v>0.375</v>
      </c>
      <c r="F4" s="0" t="n">
        <f aca="false">INDEX(MOEX!$B$2:$B$100,MATCH(E4,MOEX!$A$2:$A$100,0))</f>
        <v>13.47</v>
      </c>
      <c r="G4" s="0" t="n">
        <f aca="false">IF(B4&lt;MIN(MOEX!$A$2:$A$100),INDEX(MOEX!$B$2:$B$100,1),IF(B4&gt;MAX(MOEX!$A$2:$A$100),INDEX(MOEX!$B$2:$B$100,COUNT(MOEX!$B$2:$B$100)),IF(COUNTIF(MOEX!$A$2:$A$100,B4)&gt;0,INDEX(MOEX!$B$2:$B$100,MATCH(B4,MOEX!$A$2:$A$100,0)),D4+(B4-C4)*(F4-D4)/(E4-C4))))</f>
        <v>13.669968</v>
      </c>
      <c r="H4" s="0" t="str">
        <f aca="false">IF(OR(B4&lt;MIN(MOEX!$A$2:$A$100),B4&gt;MAX(MOEX!$A$2:$A$100)),"Ближайшее значение",IF(COUNTIF(MOEX!$A$2:$A$100,B4)&gt;0,"Точное совпадение","Интерполяция"))</f>
        <v>Точное совпадение</v>
      </c>
      <c r="I4" s="0" t="n">
        <f aca="false">G4+$Q$2</f>
        <v>17.669968</v>
      </c>
      <c r="J4" s="0" t="n">
        <f aca="false">G4-$Q$2</f>
        <v>9.669968</v>
      </c>
      <c r="K4" s="0" t="n">
        <f aca="false">G4-0.65*$Q$3*EXP(-B4/$Q$5)+0.9*$Q$4*(1-EXP(-B4/$Q$5))</f>
        <v>10.662838289813</v>
      </c>
      <c r="L4" s="0" t="n">
        <f aca="false">G4+0.8*$Q$3*EXP(-B4/$Q$5)-0.6*$Q$4*(1-EXP(-B4/$Q$5))</f>
        <v>17.4332204906024</v>
      </c>
      <c r="M4" s="0" t="n">
        <f aca="false">G4+$Q$3*EXP(-B4/$Q$5)</f>
        <v>18.4658753194848</v>
      </c>
      <c r="N4" s="5" t="n">
        <f aca="false">G4-$Q$3*EXP(-B4/$Q$5)</f>
        <v>8.87406068051516</v>
      </c>
      <c r="P4" s="6" t="s">
        <v>19</v>
      </c>
      <c r="Q4" s="7" t="n">
        <v>3</v>
      </c>
    </row>
    <row r="5" customFormat="false" ht="16.25" hidden="false" customHeight="false" outlineLevel="0" collapsed="false">
      <c r="A5" s="4" t="n">
        <v>4</v>
      </c>
      <c r="B5" s="0" t="n">
        <v>0.375</v>
      </c>
      <c r="C5" s="0" t="n">
        <f aca="false">IF(B5&lt;MIN(MOEX!$A$2:$A$100),MOEX!$A$2,INDEX(MOEX!$A$2:$A$100,MATCH(B5,MOEX!$A$2:$A$100,1)))</f>
        <v>0.375</v>
      </c>
      <c r="D5" s="0" t="n">
        <f aca="false">INDEX(MOEX!$B$2:$B$100,MATCH(C5,MOEX!$A$2:$A$100,0))</f>
        <v>13.47</v>
      </c>
      <c r="E5" s="0" t="n">
        <f aca="false">IF(B5&gt;=MAX(MOEX!$A$2:$A$100),MAX(MOEX!$A$2:$A$100),INDEX(MOEX!$A$2:$A$100,MATCH(B5,MOEX!$A$2:$A$100,1)+1))</f>
        <v>0.625</v>
      </c>
      <c r="F5" s="0" t="n">
        <f aca="false">INDEX(MOEX!$B$2:$B$100,MATCH(E5,MOEX!$A$2:$A$100,0))</f>
        <v>13.385</v>
      </c>
      <c r="G5" s="0" t="n">
        <f aca="false">IF(B5&lt;MIN(MOEX!$A$2:$A$100),INDEX(MOEX!$B$2:$B$100,1),IF(B5&gt;MAX(MOEX!$A$2:$A$100),INDEX(MOEX!$B$2:$B$100,COUNT(MOEX!$B$2:$B$100)),IF(COUNTIF(MOEX!$A$2:$A$100,B5)&gt;0,INDEX(MOEX!$B$2:$B$100,MATCH(B5,MOEX!$A$2:$A$100,0)),D5+(B5-C5)*(F5-D5)/(E5-C5))))</f>
        <v>13.47</v>
      </c>
      <c r="H5" s="0" t="str">
        <f aca="false">IF(OR(B5&lt;MIN(MOEX!$A$2:$A$100),B5&gt;MAX(MOEX!$A$2:$A$100)),"Ближайшее значение",IF(COUNTIF(MOEX!$A$2:$A$100,B5)&gt;0,"Точное совпадение","Интерполяция"))</f>
        <v>Точное совпадение</v>
      </c>
      <c r="I5" s="0" t="n">
        <f aca="false">G5+$Q$2</f>
        <v>17.47</v>
      </c>
      <c r="J5" s="0" t="n">
        <f aca="false">G5-$Q$2</f>
        <v>9.47</v>
      </c>
      <c r="K5" s="0" t="n">
        <f aca="false">G5-0.65*$Q$3*EXP(-B5/$Q$5)+0.9*$Q$4*(1-EXP(-B5/$Q$5))</f>
        <v>10.7524633497888</v>
      </c>
      <c r="L5" s="0" t="n">
        <f aca="false">G5+0.8*$Q$3*EXP(-B5/$Q$5)-0.6*$Q$4*(1-EXP(-B5/$Q$5))</f>
        <v>16.9509600960042</v>
      </c>
      <c r="M5" s="0" t="n">
        <f aca="false">G5+$Q$3*EXP(-B5/$Q$5)</f>
        <v>18.0225518069002</v>
      </c>
      <c r="N5" s="5" t="n">
        <f aca="false">G5-$Q$3*EXP(-B5/$Q$5)</f>
        <v>8.91744819309983</v>
      </c>
      <c r="P5" s="8" t="s">
        <v>20</v>
      </c>
      <c r="Q5" s="9" t="n">
        <v>4</v>
      </c>
    </row>
    <row r="6" customFormat="false" ht="16.25" hidden="false" customHeight="false" outlineLevel="0" collapsed="false">
      <c r="A6" s="4" t="n">
        <v>5</v>
      </c>
      <c r="B6" s="0" t="n">
        <v>0.625</v>
      </c>
      <c r="C6" s="0" t="n">
        <f aca="false">IF(B6&lt;MIN(MOEX!$A$2:$A$100),MOEX!$A$2,INDEX(MOEX!$A$2:$A$100,MATCH(B6,MOEX!$A$2:$A$100,1)))</f>
        <v>0.625</v>
      </c>
      <c r="D6" s="0" t="n">
        <f aca="false">INDEX(MOEX!$B$2:$B$100,MATCH(C6,MOEX!$A$2:$A$100,0))</f>
        <v>13.385</v>
      </c>
      <c r="E6" s="0" t="n">
        <f aca="false">IF(B6&gt;=MAX(MOEX!$A$2:$A$100),MAX(MOEX!$A$2:$A$100),INDEX(MOEX!$A$2:$A$100,MATCH(B6,MOEX!$A$2:$A$100,1)+1))</f>
        <v>0.875</v>
      </c>
      <c r="F6" s="0" t="n">
        <f aca="false">INDEX(MOEX!$B$2:$B$100,MATCH(E6,MOEX!$A$2:$A$100,0))</f>
        <v>13.525</v>
      </c>
      <c r="G6" s="0" t="n">
        <f aca="false">IF(B6&lt;MIN(MOEX!$A$2:$A$100),INDEX(MOEX!$B$2:$B$100,1),IF(B6&gt;MAX(MOEX!$A$2:$A$100),INDEX(MOEX!$B$2:$B$100,COUNT(MOEX!$B$2:$B$100)),IF(COUNTIF(MOEX!$A$2:$A$100,B6)&gt;0,INDEX(MOEX!$B$2:$B$100,MATCH(B6,MOEX!$A$2:$A$100,0)),D6+(B6-C6)*(F6-D6)/(E6-C6))))</f>
        <v>13.385</v>
      </c>
      <c r="H6" s="0" t="str">
        <f aca="false">IF(OR(B6&lt;MIN(MOEX!$A$2:$A$100),B6&gt;MAX(MOEX!$A$2:$A$100)),"Ближайшее значение",IF(COUNTIF(MOEX!$A$2:$A$100,B6)&gt;0,"Точное совпадение","Интерполяция"))</f>
        <v>Точное совпадение</v>
      </c>
      <c r="I6" s="0" t="n">
        <f aca="false">G6+$Q$2</f>
        <v>17.385</v>
      </c>
      <c r="J6" s="0" t="n">
        <f aca="false">G6-$Q$2</f>
        <v>9.385</v>
      </c>
      <c r="K6" s="0" t="n">
        <f aca="false">G6-0.65*$Q$3*EXP(-B6/$Q$5)+0.9*$Q$4*(1-EXP(-B6/$Q$5))</f>
        <v>10.9956953025208</v>
      </c>
      <c r="L6" s="0" t="n">
        <f aca="false">G6+0.8*$Q$3*EXP(-B6/$Q$5)-0.6*$Q$4*(1-EXP(-B6/$Q$5))</f>
        <v>16.5460028983831</v>
      </c>
      <c r="M6" s="0" t="n">
        <f aca="false">G6+$Q$3*EXP(-B6/$Q$5)</f>
        <v>17.6617266365371</v>
      </c>
      <c r="N6" s="5" t="n">
        <f aca="false">G6-$Q$3*EXP(-B6/$Q$5)</f>
        <v>9.10827336346289</v>
      </c>
    </row>
    <row r="7" customFormat="false" ht="16.25" hidden="false" customHeight="false" outlineLevel="0" collapsed="false">
      <c r="A7" s="4" t="n">
        <v>6</v>
      </c>
      <c r="B7" s="0" t="n">
        <v>0.875</v>
      </c>
      <c r="C7" s="0" t="n">
        <f aca="false">IF(B7&lt;MIN(MOEX!$A$2:$A$100),MOEX!$A$2,INDEX(MOEX!$A$2:$A$100,MATCH(B7,MOEX!$A$2:$A$100,1)))</f>
        <v>0.875</v>
      </c>
      <c r="D7" s="0" t="n">
        <f aca="false">INDEX(MOEX!$B$2:$B$100,MATCH(C7,MOEX!$A$2:$A$100,0))</f>
        <v>13.525</v>
      </c>
      <c r="E7" s="0" t="n">
        <f aca="false">IF(B7&gt;=MAX(MOEX!$A$2:$A$100),MAX(MOEX!$A$2:$A$100),INDEX(MOEX!$A$2:$A$100,MATCH(B7,MOEX!$A$2:$A$100,1)+1))</f>
        <v>1.25</v>
      </c>
      <c r="F7" s="0" t="n">
        <f aca="false">INDEX(MOEX!$B$2:$B$100,MATCH(E7,MOEX!$A$2:$A$100,0))</f>
        <v>13.8675</v>
      </c>
      <c r="G7" s="0" t="n">
        <f aca="false">IF(B7&lt;MIN(MOEX!$A$2:$A$100),INDEX(MOEX!$B$2:$B$100,1),IF(B7&gt;MAX(MOEX!$A$2:$A$100),INDEX(MOEX!$B$2:$B$100,COUNT(MOEX!$B$2:$B$100)),IF(COUNTIF(MOEX!$A$2:$A$100,B7)&gt;0,INDEX(MOEX!$B$2:$B$100,MATCH(B7,MOEX!$A$2:$A$100,0)),D7+(B7-C7)*(F7-D7)/(E7-C7))))</f>
        <v>13.525</v>
      </c>
      <c r="H7" s="0" t="str">
        <f aca="false">IF(OR(B7&lt;MIN(MOEX!$A$2:$A$100),B7&gt;MAX(MOEX!$A$2:$A$100)),"Ближайшее значение",IF(COUNTIF(MOEX!$A$2:$A$100,B7)&gt;0,"Точное совпадение","Интерполяция"))</f>
        <v>Точное совпадение</v>
      </c>
      <c r="I7" s="0" t="n">
        <f aca="false">G7+$Q$2</f>
        <v>17.525</v>
      </c>
      <c r="J7" s="0" t="n">
        <f aca="false">G7-$Q$2</f>
        <v>9.525</v>
      </c>
      <c r="K7" s="0" t="n">
        <f aca="false">G7-0.65*$Q$3*EXP(-B7/$Q$5)+0.9*$Q$4*(1-EXP(-B7/$Q$5))</f>
        <v>11.4440406865501</v>
      </c>
      <c r="L7" s="0" t="n">
        <f aca="false">G7+0.8*$Q$3*EXP(-B7/$Q$5)-0.6*$Q$4*(1-EXP(-B7/$Q$5))</f>
        <v>16.3854309273966</v>
      </c>
      <c r="M7" s="0" t="n">
        <f aca="false">G7+$Q$3*EXP(-B7/$Q$5)</f>
        <v>17.5426128684453</v>
      </c>
      <c r="N7" s="5" t="n">
        <f aca="false">G7-$Q$3*EXP(-B7/$Q$5)</f>
        <v>9.5073871315547</v>
      </c>
    </row>
    <row r="8" customFormat="false" ht="16.25" hidden="false" customHeight="false" outlineLevel="0" collapsed="false">
      <c r="A8" s="4" t="n">
        <v>7</v>
      </c>
      <c r="B8" s="0" t="n">
        <v>1.25</v>
      </c>
      <c r="C8" s="0" t="n">
        <f aca="false">IF(B8&lt;MIN(MOEX!$A$2:$A$100),MOEX!$A$2,INDEX(MOEX!$A$2:$A$100,MATCH(B8,MOEX!$A$2:$A$100,1)))</f>
        <v>1.25</v>
      </c>
      <c r="D8" s="0" t="n">
        <f aca="false">INDEX(MOEX!$B$2:$B$100,MATCH(C8,MOEX!$A$2:$A$100,0))</f>
        <v>13.8675</v>
      </c>
      <c r="E8" s="0" t="n">
        <f aca="false">IF(B8&gt;=MAX(MOEX!$A$2:$A$100),MAX(MOEX!$A$2:$A$100),INDEX(MOEX!$A$2:$A$100,MATCH(B8,MOEX!$A$2:$A$100,1)+1))</f>
        <v>1.75</v>
      </c>
      <c r="F8" s="0" t="n">
        <f aca="false">INDEX(MOEX!$B$2:$B$100,MATCH(E8,MOEX!$A$2:$A$100,0))</f>
        <v>14.3425</v>
      </c>
      <c r="G8" s="0" t="n">
        <f aca="false">IF(B8&lt;MIN(MOEX!$A$2:$A$100),INDEX(MOEX!$B$2:$B$100,1),IF(B8&gt;MAX(MOEX!$A$2:$A$100),INDEX(MOEX!$B$2:$B$100,COUNT(MOEX!$B$2:$B$100)),IF(COUNTIF(MOEX!$A$2:$A$100,B8)&gt;0,INDEX(MOEX!$B$2:$B$100,MATCH(B8,MOEX!$A$2:$A$100,0)),D8+(B8-C8)*(F8-D8)/(E8-C8))))</f>
        <v>13.8675</v>
      </c>
      <c r="H8" s="0" t="str">
        <f aca="false">IF(OR(B8&lt;MIN(MOEX!$A$2:$A$100),B8&gt;MAX(MOEX!$A$2:$A$100)),"Ближайшее значение",IF(COUNTIF(MOEX!$A$2:$A$100,B8)&gt;0,"Точное совпадение","Интерполяция"))</f>
        <v>Точное совпадение</v>
      </c>
      <c r="I8" s="0" t="n">
        <f aca="false">G8+$Q$2</f>
        <v>17.8675</v>
      </c>
      <c r="J8" s="0" t="n">
        <f aca="false">G8-$Q$2</f>
        <v>9.8675</v>
      </c>
      <c r="K8" s="0" t="n">
        <f aca="false">G8-0.65*$Q$3*EXP(-B8/$Q$5)+0.9*$Q$4*(1-EXP(-B8/$Q$5))</f>
        <v>12.2143870077675</v>
      </c>
      <c r="L8" s="0" t="n">
        <f aca="false">G8+0.8*$Q$3*EXP(-B8/$Q$5)-0.6*$Q$4*(1-EXP(-B8/$Q$5))</f>
        <v>16.3108706478905</v>
      </c>
      <c r="M8" s="0" t="n">
        <f aca="false">G8+$Q$3*EXP(-B8/$Q$5)</f>
        <v>17.5255781447332</v>
      </c>
      <c r="N8" s="5" t="n">
        <f aca="false">G8-$Q$3*EXP(-B8/$Q$5)</f>
        <v>10.2094218552668</v>
      </c>
    </row>
    <row r="9" customFormat="false" ht="16.25" hidden="false" customHeight="false" outlineLevel="0" collapsed="false">
      <c r="A9" s="4" t="n">
        <v>8</v>
      </c>
      <c r="B9" s="0" t="n">
        <v>1.75</v>
      </c>
      <c r="C9" s="0" t="n">
        <f aca="false">IF(B9&lt;MIN(MOEX!$A$2:$A$100),MOEX!$A$2,INDEX(MOEX!$A$2:$A$100,MATCH(B9,MOEX!$A$2:$A$100,1)))</f>
        <v>1.75</v>
      </c>
      <c r="D9" s="0" t="n">
        <f aca="false">INDEX(MOEX!$B$2:$B$100,MATCH(C9,MOEX!$A$2:$A$100,0))</f>
        <v>14.3425</v>
      </c>
      <c r="E9" s="0" t="n">
        <f aca="false">IF(B9&gt;=MAX(MOEX!$A$2:$A$100),MAX(MOEX!$A$2:$A$100),INDEX(MOEX!$A$2:$A$100,MATCH(B9,MOEX!$A$2:$A$100,1)+1))</f>
        <v>2.5</v>
      </c>
      <c r="F9" s="0" t="n">
        <f aca="false">INDEX(MOEX!$B$2:$B$100,MATCH(E9,MOEX!$A$2:$A$100,0))</f>
        <v>14.82</v>
      </c>
      <c r="G9" s="0" t="n">
        <f aca="false">IF(B9&lt;MIN(MOEX!$A$2:$A$100),INDEX(MOEX!$B$2:$B$100,1),IF(B9&gt;MAX(MOEX!$A$2:$A$100),INDEX(MOEX!$B$2:$B$100,COUNT(MOEX!$B$2:$B$100)),IF(COUNTIF(MOEX!$A$2:$A$100,B9)&gt;0,INDEX(MOEX!$B$2:$B$100,MATCH(B9,MOEX!$A$2:$A$100,0)),D9+(B9-C9)*(F9-D9)/(E9-C9))))</f>
        <v>14.3425</v>
      </c>
      <c r="H9" s="0" t="str">
        <f aca="false">IF(OR(B9&lt;MIN(MOEX!$A$2:$A$100),B9&gt;MAX(MOEX!$A$2:$A$100)),"Ближайшее значение",IF(COUNTIF(MOEX!$A$2:$A$100,B9)&gt;0,"Точное совпадение","Интерполяция"))</f>
        <v>Точное совпадение</v>
      </c>
      <c r="I9" s="0" t="n">
        <f aca="false">G9+$Q$2</f>
        <v>18.3425</v>
      </c>
      <c r="J9" s="0" t="n">
        <f aca="false">G9-$Q$2</f>
        <v>10.3425</v>
      </c>
      <c r="K9" s="0" t="n">
        <f aca="false">G9-0.65*$Q$3*EXP(-B9/$Q$5)+0.9*$Q$4*(1-EXP(-B9/$Q$5))</f>
        <v>13.200891267754</v>
      </c>
      <c r="L9" s="0" t="n">
        <f aca="false">G9+0.8*$Q$3*EXP(-B9/$Q$5)-0.6*$Q$4*(1-EXP(-B9/$Q$5))</f>
        <v>16.2872614532818</v>
      </c>
      <c r="M9" s="0" t="n">
        <f aca="false">G9+$Q$3*EXP(-B9/$Q$5)</f>
        <v>17.5707426321395</v>
      </c>
      <c r="N9" s="5" t="n">
        <f aca="false">G9-$Q$3*EXP(-B9/$Q$5)</f>
        <v>11.1142573678605</v>
      </c>
    </row>
    <row r="10" customFormat="false" ht="16.25" hidden="false" customHeight="false" outlineLevel="0" collapsed="false">
      <c r="A10" s="4" t="n">
        <v>9</v>
      </c>
      <c r="B10" s="0" t="n">
        <v>2.5</v>
      </c>
      <c r="C10" s="0" t="n">
        <f aca="false">IF(B10&lt;MIN(MOEX!$A$2:$A$100),MOEX!$A$2,INDEX(MOEX!$A$2:$A$100,MATCH(B10,MOEX!$A$2:$A$100,1)))</f>
        <v>2.5</v>
      </c>
      <c r="D10" s="0" t="n">
        <f aca="false">INDEX(MOEX!$B$2:$B$100,MATCH(C10,MOEX!$A$2:$A$100,0))</f>
        <v>14.82</v>
      </c>
      <c r="E10" s="0" t="n">
        <f aca="false">IF(B10&gt;=MAX(MOEX!$A$2:$A$100),MAX(MOEX!$A$2:$A$100),INDEX(MOEX!$A$2:$A$100,MATCH(B10,MOEX!$A$2:$A$100,1)+1))</f>
        <v>3.5</v>
      </c>
      <c r="F10" s="0" t="n">
        <f aca="false">INDEX(MOEX!$B$2:$B$100,MATCH(E10,MOEX!$A$2:$A$100,0))</f>
        <v>15.15</v>
      </c>
      <c r="G10" s="0" t="n">
        <f aca="false">IF(B10&lt;MIN(MOEX!$A$2:$A$100),INDEX(MOEX!$B$2:$B$100,1),IF(B10&gt;MAX(MOEX!$A$2:$A$100),INDEX(MOEX!$B$2:$B$100,COUNT(MOEX!$B$2:$B$100)),IF(COUNTIF(MOEX!$A$2:$A$100,B10)&gt;0,INDEX(MOEX!$B$2:$B$100,MATCH(B10,MOEX!$A$2:$A$100,0)),D10+(B10-C10)*(F10-D10)/(E10-C10))))</f>
        <v>14.82</v>
      </c>
      <c r="H10" s="0" t="str">
        <f aca="false">IF(OR(B10&lt;MIN(MOEX!$A$2:$A$100),B10&gt;MAX(MOEX!$A$2:$A$100)),"Ближайшее значение",IF(COUNTIF(MOEX!$A$2:$A$100,B10)&gt;0,"Точное совпадение","Интерполяция"))</f>
        <v>Точное совпадение</v>
      </c>
      <c r="I10" s="0" t="n">
        <f aca="false">G10+$Q$2</f>
        <v>18.82</v>
      </c>
      <c r="J10" s="0" t="n">
        <f aca="false">G10-$Q$2</f>
        <v>10.82</v>
      </c>
      <c r="K10" s="0" t="n">
        <f aca="false">G10-0.65*$Q$3*EXP(-B10/$Q$5)+0.9*$Q$4*(1-EXP(-B10/$Q$5))</f>
        <v>14.335194500312</v>
      </c>
      <c r="L10" s="0" t="n">
        <f aca="false">G10+0.8*$Q$3*EXP(-B10/$Q$5)-0.6*$Q$4*(1-EXP(-B10/$Q$5))</f>
        <v>16.1245162854101</v>
      </c>
      <c r="M10" s="0" t="n">
        <f aca="false">G10+$Q$3*EXP(-B10/$Q$5)</f>
        <v>17.496307142595</v>
      </c>
      <c r="N10" s="5" t="n">
        <f aca="false">G10-$Q$3*EXP(-B10/$Q$5)</f>
        <v>12.1436928574051</v>
      </c>
    </row>
    <row r="11" customFormat="false" ht="16.25" hidden="false" customHeight="false" outlineLevel="0" collapsed="false">
      <c r="A11" s="4" t="n">
        <v>10</v>
      </c>
      <c r="B11" s="0" t="n">
        <v>3.5</v>
      </c>
      <c r="C11" s="0" t="n">
        <f aca="false">IF(B11&lt;MIN(MOEX!$A$2:$A$100),MOEX!$A$2,INDEX(MOEX!$A$2:$A$100,MATCH(B11,MOEX!$A$2:$A$100,1)))</f>
        <v>3.5</v>
      </c>
      <c r="D11" s="0" t="n">
        <f aca="false">INDEX(MOEX!$B$2:$B$100,MATCH(C11,MOEX!$A$2:$A$100,0))</f>
        <v>15.15</v>
      </c>
      <c r="E11" s="0" t="n">
        <f aca="false">IF(B11&gt;=MAX(MOEX!$A$2:$A$100),MAX(MOEX!$A$2:$A$100),INDEX(MOEX!$A$2:$A$100,MATCH(B11,MOEX!$A$2:$A$100,1)+1))</f>
        <v>4.5</v>
      </c>
      <c r="F11" s="0" t="n">
        <f aca="false">INDEX(MOEX!$B$2:$B$100,MATCH(E11,MOEX!$A$2:$A$100,0))</f>
        <v>15.33</v>
      </c>
      <c r="G11" s="0" t="n">
        <f aca="false">IF(B11&lt;MIN(MOEX!$A$2:$A$100),INDEX(MOEX!$B$2:$B$100,1),IF(B11&gt;MAX(MOEX!$A$2:$A$100),INDEX(MOEX!$B$2:$B$100,COUNT(MOEX!$B$2:$B$100)),IF(COUNTIF(MOEX!$A$2:$A$100,B11)&gt;0,INDEX(MOEX!$B$2:$B$100,MATCH(B11,MOEX!$A$2:$A$100,0)),D11+(B11-C11)*(F11-D11)/(E11-C11))))</f>
        <v>15.15</v>
      </c>
      <c r="H11" s="0" t="str">
        <f aca="false">IF(OR(B11&lt;MIN(MOEX!$A$2:$A$100),B11&gt;MAX(MOEX!$A$2:$A$100)),"Ближайшее значение",IF(COUNTIF(MOEX!$A$2:$A$100,B11)&gt;0,"Точное совпадение","Интерполяция"))</f>
        <v>Точное совпадение</v>
      </c>
      <c r="I11" s="0" t="n">
        <f aca="false">G11+$Q$2</f>
        <v>19.15</v>
      </c>
      <c r="J11" s="0" t="n">
        <f aca="false">G11-$Q$2</f>
        <v>11.15</v>
      </c>
      <c r="K11" s="0" t="n">
        <f aca="false">G11-0.65*$Q$3*EXP(-B11/$Q$5)+0.9*$Q$4*(1-EXP(-B11/$Q$5))</f>
        <v>15.3696709829129</v>
      </c>
      <c r="L11" s="0" t="n">
        <f aca="false">G11+0.8*$Q$3*EXP(-B11/$Q$5)-0.6*$Q$4*(1-EXP(-B11/$Q$5))</f>
        <v>15.7677997141353</v>
      </c>
      <c r="M11" s="0" t="n">
        <f aca="false">G11+$Q$3*EXP(-B11/$Q$5)</f>
        <v>17.2343100983925</v>
      </c>
      <c r="N11" s="5" t="n">
        <f aca="false">G11-$Q$3*EXP(-B11/$Q$5)</f>
        <v>13.0656899016075</v>
      </c>
    </row>
    <row r="12" customFormat="false" ht="16.25" hidden="false" customHeight="false" outlineLevel="0" collapsed="false">
      <c r="A12" s="4" t="n">
        <v>11</v>
      </c>
      <c r="B12" s="0" t="n">
        <v>4.5</v>
      </c>
      <c r="C12" s="0" t="n">
        <f aca="false">IF(B12&lt;MIN(MOEX!$A$2:$A$100),MOEX!$A$2,INDEX(MOEX!$A$2:$A$100,MATCH(B12,MOEX!$A$2:$A$100,1)))</f>
        <v>4.5</v>
      </c>
      <c r="D12" s="0" t="n">
        <f aca="false">INDEX(MOEX!$B$2:$B$100,MATCH(C12,MOEX!$A$2:$A$100,0))</f>
        <v>15.33</v>
      </c>
      <c r="E12" s="0" t="n">
        <f aca="false">IF(B12&gt;=MAX(MOEX!$A$2:$A$100),MAX(MOEX!$A$2:$A$100),INDEX(MOEX!$A$2:$A$100,MATCH(B12,MOEX!$A$2:$A$100,1)+1))</f>
        <v>5.5</v>
      </c>
      <c r="F12" s="0" t="n">
        <f aca="false">INDEX(MOEX!$B$2:$B$100,MATCH(E12,MOEX!$A$2:$A$100,0))</f>
        <v>15.4575</v>
      </c>
      <c r="G12" s="0" t="n">
        <f aca="false">IF(B12&lt;MIN(MOEX!$A$2:$A$100),INDEX(MOEX!$B$2:$B$100,1),IF(B12&gt;MAX(MOEX!$A$2:$A$100),INDEX(MOEX!$B$2:$B$100,COUNT(MOEX!$B$2:$B$100)),IF(COUNTIF(MOEX!$A$2:$A$100,B12)&gt;0,INDEX(MOEX!$B$2:$B$100,MATCH(B12,MOEX!$A$2:$A$100,0)),D12+(B12-C12)*(F12-D12)/(E12-C12))))</f>
        <v>15.33</v>
      </c>
      <c r="H12" s="0" t="str">
        <f aca="false">IF(OR(B12&lt;MIN(MOEX!$A$2:$A$100),B12&gt;MAX(MOEX!$A$2:$A$100)),"Ближайшее значение",IF(COUNTIF(MOEX!$A$2:$A$100,B12)&gt;0,"Точное совпадение","Интерполяция"))</f>
        <v>Точное совпадение</v>
      </c>
      <c r="I12" s="0" t="n">
        <f aca="false">G12+$Q$2</f>
        <v>19.33</v>
      </c>
      <c r="J12" s="0" t="n">
        <f aca="false">G12-$Q$2</f>
        <v>11.33</v>
      </c>
      <c r="K12" s="0" t="n">
        <f aca="false">G12-0.65*$Q$3*EXP(-B12/$Q$5)+0.9*$Q$4*(1-EXP(-B12/$Q$5))</f>
        <v>16.0983178192178</v>
      </c>
      <c r="L12" s="0" t="n">
        <f aca="false">G12+0.8*$Q$3*EXP(-B12/$Q$5)-0.6*$Q$4*(1-EXP(-B12/$Q$5))</f>
        <v>15.4129843106784</v>
      </c>
      <c r="M12" s="0" t="n">
        <f aca="false">G12+$Q$3*EXP(-B12/$Q$5)</f>
        <v>16.9532623367918</v>
      </c>
      <c r="N12" s="5" t="n">
        <f aca="false">G12-$Q$3*EXP(-B12/$Q$5)</f>
        <v>13.7067376632083</v>
      </c>
    </row>
    <row r="13" customFormat="false" ht="16.25" hidden="false" customHeight="false" outlineLevel="0" collapsed="false">
      <c r="A13" s="4" t="n">
        <v>12</v>
      </c>
      <c r="B13" s="0" t="n">
        <v>5.5</v>
      </c>
      <c r="C13" s="0" t="n">
        <f aca="false">IF(B13&lt;MIN(MOEX!$A$2:$A$100),MOEX!$A$2,INDEX(MOEX!$A$2:$A$100,MATCH(B13,MOEX!$A$2:$A$100,1)))</f>
        <v>5.5</v>
      </c>
      <c r="D13" s="0" t="n">
        <f aca="false">INDEX(MOEX!$B$2:$B$100,MATCH(C13,MOEX!$A$2:$A$100,0))</f>
        <v>15.4575</v>
      </c>
      <c r="E13" s="0" t="n">
        <f aca="false">IF(B13&gt;=MAX(MOEX!$A$2:$A$100),MAX(MOEX!$A$2:$A$100),INDEX(MOEX!$A$2:$A$100,MATCH(B13,MOEX!$A$2:$A$100,1)+1))</f>
        <v>6.5</v>
      </c>
      <c r="F13" s="0" t="n">
        <f aca="false">INDEX(MOEX!$B$2:$B$100,MATCH(E13,MOEX!$A$2:$A$100,0))</f>
        <v>15.5325</v>
      </c>
      <c r="G13" s="0" t="n">
        <f aca="false">IF(B13&lt;MIN(MOEX!$A$2:$A$100),INDEX(MOEX!$B$2:$B$100,1),IF(B13&gt;MAX(MOEX!$A$2:$A$100),INDEX(MOEX!$B$2:$B$100,COUNT(MOEX!$B$2:$B$100)),IF(COUNTIF(MOEX!$A$2:$A$100,B13)&gt;0,INDEX(MOEX!$B$2:$B$100,MATCH(B13,MOEX!$A$2:$A$100,0)),D13+(B13-C13)*(F13-D13)/(E13-C13))))</f>
        <v>15.4575</v>
      </c>
      <c r="H13" s="0" t="str">
        <f aca="false">IF(OR(B13&lt;MIN(MOEX!$A$2:$A$100),B13&gt;MAX(MOEX!$A$2:$A$100)),"Ближайшее значение",IF(COUNTIF(MOEX!$A$2:$A$100,B13)&gt;0,"Точное совпадение","Интерполяция"))</f>
        <v>Точное совпадение</v>
      </c>
      <c r="I13" s="0" t="n">
        <f aca="false">G13+$Q$2</f>
        <v>19.4575</v>
      </c>
      <c r="J13" s="0" t="n">
        <f aca="false">G13-$Q$2</f>
        <v>11.4575</v>
      </c>
      <c r="K13" s="0" t="n">
        <f aca="false">G13-0.65*$Q$3*EXP(-B13/$Q$5)+0.9*$Q$4*(1-EXP(-B13/$Q$5))</f>
        <v>16.6531044049618</v>
      </c>
      <c r="L13" s="0" t="n">
        <f aca="false">G13+0.8*$Q$3*EXP(-B13/$Q$5)-0.6*$Q$4*(1-EXP(-B13/$Q$5))</f>
        <v>15.1239696556675</v>
      </c>
      <c r="M13" s="0" t="n">
        <f aca="false">G13+$Q$3*EXP(-B13/$Q$5)</f>
        <v>16.7216979790237</v>
      </c>
      <c r="N13" s="5" t="n">
        <f aca="false">G13-$Q$3*EXP(-B13/$Q$5)</f>
        <v>14.1933020209763</v>
      </c>
    </row>
    <row r="14" customFormat="false" ht="16.25" hidden="false" customHeight="false" outlineLevel="0" collapsed="false">
      <c r="A14" s="4" t="n">
        <v>13</v>
      </c>
      <c r="B14" s="0" t="n">
        <v>6.5</v>
      </c>
      <c r="C14" s="0" t="n">
        <f aca="false">IF(B14&lt;MIN(MOEX!$A$2:$A$100),MOEX!$A$2,INDEX(MOEX!$A$2:$A$100,MATCH(B14,MOEX!$A$2:$A$100,1)))</f>
        <v>6.5</v>
      </c>
      <c r="D14" s="0" t="n">
        <f aca="false">INDEX(MOEX!$B$2:$B$100,MATCH(C14,MOEX!$A$2:$A$100,0))</f>
        <v>15.5325</v>
      </c>
      <c r="E14" s="0" t="n">
        <f aca="false">IF(B14&gt;=MAX(MOEX!$A$2:$A$100),MAX(MOEX!$A$2:$A$100),INDEX(MOEX!$A$2:$A$100,MATCH(B14,MOEX!$A$2:$A$100,1)+1))</f>
        <v>7.5</v>
      </c>
      <c r="F14" s="0" t="n">
        <f aca="false">INDEX(MOEX!$B$2:$B$100,MATCH(E14,MOEX!$A$2:$A$100,0))</f>
        <v>15.59</v>
      </c>
      <c r="G14" s="0" t="n">
        <f aca="false">IF(B14&lt;MIN(MOEX!$A$2:$A$100),INDEX(MOEX!$B$2:$B$100,1),IF(B14&gt;MAX(MOEX!$A$2:$A$100),INDEX(MOEX!$B$2:$B$100,COUNT(MOEX!$B$2:$B$100)),IF(COUNTIF(MOEX!$A$2:$A$100,B14)&gt;0,INDEX(MOEX!$B$2:$B$100,MATCH(B14,MOEX!$A$2:$A$100,0)),D14+(B14-C14)*(F14-D14)/(E14-C14))))</f>
        <v>15.5325</v>
      </c>
      <c r="H14" s="0" t="str">
        <f aca="false">IF(OR(B14&lt;MIN(MOEX!$A$2:$A$100),B14&gt;MAX(MOEX!$A$2:$A$100)),"Ближайшее значение",IF(COUNTIF(MOEX!$A$2:$A$100,B14)&gt;0,"Точное совпадение","Интерполяция"))</f>
        <v>Точное совпадение</v>
      </c>
      <c r="I14" s="0" t="n">
        <f aca="false">G14+$Q$2</f>
        <v>19.5325</v>
      </c>
      <c r="J14" s="0" t="n">
        <f aca="false">G14-$Q$2</f>
        <v>11.5325</v>
      </c>
      <c r="K14" s="0" t="n">
        <f aca="false">G14-0.65*$Q$3*EXP(-B14/$Q$5)+0.9*$Q$4*(1-EXP(-B14/$Q$5))</f>
        <v>17.060875532535</v>
      </c>
      <c r="L14" s="0" t="n">
        <f aca="false">G14+0.8*$Q$3*EXP(-B14/$Q$5)-0.6*$Q$4*(1-EXP(-B14/$Q$5))</f>
        <v>14.8745877161843</v>
      </c>
      <c r="M14" s="0" t="n">
        <f aca="false">G14+$Q$3*EXP(-B14/$Q$5)</f>
        <v>16.517058376021</v>
      </c>
      <c r="N14" s="5" t="n">
        <f aca="false">G14-$Q$3*EXP(-B14/$Q$5)</f>
        <v>14.547941623979</v>
      </c>
    </row>
    <row r="15" customFormat="false" ht="16.25" hidden="false" customHeight="false" outlineLevel="0" collapsed="false">
      <c r="A15" s="4" t="n">
        <v>14</v>
      </c>
      <c r="B15" s="0" t="n">
        <v>7.5</v>
      </c>
      <c r="C15" s="0" t="n">
        <f aca="false">IF(B15&lt;MIN(MOEX!$A$2:$A$100),MOEX!$A$2,INDEX(MOEX!$A$2:$A$100,MATCH(B15,MOEX!$A$2:$A$100,1)))</f>
        <v>7.5</v>
      </c>
      <c r="D15" s="0" t="n">
        <f aca="false">INDEX(MOEX!$B$2:$B$100,MATCH(C15,MOEX!$A$2:$A$100,0))</f>
        <v>15.59</v>
      </c>
      <c r="E15" s="0" t="n">
        <f aca="false">IF(B15&gt;=MAX(MOEX!$A$2:$A$100),MAX(MOEX!$A$2:$A$100),INDEX(MOEX!$A$2:$A$100,MATCH(B15,MOEX!$A$2:$A$100,1)+1))</f>
        <v>8.5</v>
      </c>
      <c r="F15" s="0" t="n">
        <f aca="false">INDEX(MOEX!$B$2:$B$100,MATCH(E15,MOEX!$A$2:$A$100,0))</f>
        <v>15.63</v>
      </c>
      <c r="G15" s="0" t="n">
        <f aca="false">IF(B15&lt;MIN(MOEX!$A$2:$A$100),INDEX(MOEX!$B$2:$B$100,1),IF(B15&gt;MAX(MOEX!$A$2:$A$100),INDEX(MOEX!$B$2:$B$100,COUNT(MOEX!$B$2:$B$100)),IF(COUNTIF(MOEX!$A$2:$A$100,B15)&gt;0,INDEX(MOEX!$B$2:$B$100,MATCH(B15,MOEX!$A$2:$A$100,0)),D15+(B15-C15)*(F15-D15)/(E15-C15))))</f>
        <v>15.59</v>
      </c>
      <c r="H15" s="0" t="str">
        <f aca="false">IF(OR(B15&lt;MIN(MOEX!$A$2:$A$100),B15&gt;MAX(MOEX!$A$2:$A$100)),"Ближайшее значение",IF(COUNTIF(MOEX!$A$2:$A$100,B15)&gt;0,"Точное совпадение","Интерполяция"))</f>
        <v>Точное совпадение</v>
      </c>
      <c r="I15" s="0" t="n">
        <f aca="false">G15+$Q$2</f>
        <v>19.59</v>
      </c>
      <c r="J15" s="0" t="n">
        <f aca="false">G15-$Q$2</f>
        <v>11.59</v>
      </c>
      <c r="K15" s="0" t="n">
        <f aca="false">G15-0.65*$Q$3*EXP(-B15/$Q$5)+0.9*$Q$4*(1-EXP(-B15/$Q$5))</f>
        <v>17.3775379472727</v>
      </c>
      <c r="L15" s="0" t="n">
        <f aca="false">G15+0.8*$Q$3*EXP(-B15/$Q$5)-0.6*$Q$4*(1-EXP(-B15/$Q$5))</f>
        <v>14.6794588077006</v>
      </c>
      <c r="M15" s="0" t="n">
        <f aca="false">G15+$Q$3*EXP(-B15/$Q$5)</f>
        <v>16.3567748342246</v>
      </c>
      <c r="N15" s="5" t="n">
        <f aca="false">G15-$Q$3*EXP(-B15/$Q$5)</f>
        <v>14.8232251657754</v>
      </c>
    </row>
    <row r="16" customFormat="false" ht="16.25" hidden="false" customHeight="false" outlineLevel="0" collapsed="false">
      <c r="A16" s="4" t="n">
        <v>15</v>
      </c>
      <c r="B16" s="0" t="n">
        <v>8.5</v>
      </c>
      <c r="C16" s="0" t="n">
        <f aca="false">IF(B16&lt;MIN(MOEX!$A$2:$A$100),MOEX!$A$2,INDEX(MOEX!$A$2:$A$100,MATCH(B16,MOEX!$A$2:$A$100,1)))</f>
        <v>8.5</v>
      </c>
      <c r="D16" s="0" t="n">
        <f aca="false">INDEX(MOEX!$B$2:$B$100,MATCH(C16,MOEX!$A$2:$A$100,0))</f>
        <v>15.63</v>
      </c>
      <c r="E16" s="0" t="n">
        <f aca="false">IF(B16&gt;=MAX(MOEX!$A$2:$A$100),MAX(MOEX!$A$2:$A$100),INDEX(MOEX!$A$2:$A$100,MATCH(B16,MOEX!$A$2:$A$100,1)+1))</f>
        <v>9.5</v>
      </c>
      <c r="F16" s="0" t="n">
        <f aca="false">INDEX(MOEX!$B$2:$B$100,MATCH(E16,MOEX!$A$2:$A$100,0))</f>
        <v>15.67</v>
      </c>
      <c r="G16" s="0" t="n">
        <f aca="false">IF(B16&lt;MIN(MOEX!$A$2:$A$100),INDEX(MOEX!$B$2:$B$100,1),IF(B16&gt;MAX(MOEX!$A$2:$A$100),INDEX(MOEX!$B$2:$B$100,COUNT(MOEX!$B$2:$B$100)),IF(COUNTIF(MOEX!$A$2:$A$100,B16)&gt;0,INDEX(MOEX!$B$2:$B$100,MATCH(B16,MOEX!$A$2:$A$100,0)),D16+(B16-C16)*(F16-D16)/(E16-C16))))</f>
        <v>15.63</v>
      </c>
      <c r="H16" s="0" t="str">
        <f aca="false">IF(OR(B16&lt;MIN(MOEX!$A$2:$A$100),B16&gt;MAX(MOEX!$A$2:$A$100)),"Ближайшее значение",IF(COUNTIF(MOEX!$A$2:$A$100,B16)&gt;0,"Точное совпадение","Интерполяция"))</f>
        <v>Точное совпадение</v>
      </c>
      <c r="I16" s="0" t="n">
        <f aca="false">G16+$Q$2</f>
        <v>19.63</v>
      </c>
      <c r="J16" s="0" t="n">
        <f aca="false">G16-$Q$2</f>
        <v>11.63</v>
      </c>
      <c r="K16" s="0" t="n">
        <f aca="false">G16-0.65*$Q$3*EXP(-B16/$Q$5)+0.9*$Q$4*(1-EXP(-B16/$Q$5))</f>
        <v>17.619373838813</v>
      </c>
      <c r="L16" s="0" t="n">
        <f aca="false">G16+0.8*$Q$3*EXP(-B16/$Q$5)-0.6*$Q$4*(1-EXP(-B16/$Q$5))</f>
        <v>14.522711215947</v>
      </c>
      <c r="M16" s="0" t="n">
        <f aca="false">G16+$Q$3*EXP(-B16/$Q$5)</f>
        <v>16.2271648413336</v>
      </c>
      <c r="N16" s="5" t="n">
        <f aca="false">G16-$Q$3*EXP(-B16/$Q$5)</f>
        <v>15.0328351586664</v>
      </c>
    </row>
    <row r="17" customFormat="false" ht="16.25" hidden="false" customHeight="false" outlineLevel="0" collapsed="false">
      <c r="A17" s="4" t="n">
        <v>16</v>
      </c>
      <c r="B17" s="0" t="n">
        <v>9.5</v>
      </c>
      <c r="C17" s="0" t="n">
        <f aca="false">IF(B17&lt;MIN(MOEX!$A$2:$A$100),MOEX!$A$2,INDEX(MOEX!$A$2:$A$100,MATCH(B17,MOEX!$A$2:$A$100,1)))</f>
        <v>9.5</v>
      </c>
      <c r="D17" s="0" t="n">
        <f aca="false">INDEX(MOEX!$B$2:$B$100,MATCH(C17,MOEX!$A$2:$A$100,0))</f>
        <v>15.67</v>
      </c>
      <c r="E17" s="0" t="n">
        <f aca="false">IF(B17&gt;=MAX(MOEX!$A$2:$A$100),MAX(MOEX!$A$2:$A$100),INDEX(MOEX!$A$2:$A$100,MATCH(B17,MOEX!$A$2:$A$100,1)+1))</f>
        <v>12.5</v>
      </c>
      <c r="F17" s="0" t="n">
        <f aca="false">INDEX(MOEX!$B$2:$B$100,MATCH(E17,MOEX!$A$2:$A$100,0))</f>
        <v>15.765</v>
      </c>
      <c r="G17" s="0" t="n">
        <f aca="false">IF(B17&lt;MIN(MOEX!$A$2:$A$100),INDEX(MOEX!$B$2:$B$100,1),IF(B17&gt;MAX(MOEX!$A$2:$A$100),INDEX(MOEX!$B$2:$B$100,COUNT(MOEX!$B$2:$B$100)),IF(COUNTIF(MOEX!$A$2:$A$100,B17)&gt;0,INDEX(MOEX!$B$2:$B$100,MATCH(B17,MOEX!$A$2:$A$100,0)),D17+(B17-C17)*(F17-D17)/(E17-C17))))</f>
        <v>15.67</v>
      </c>
      <c r="H17" s="0" t="str">
        <f aca="false">IF(OR(B17&lt;MIN(MOEX!$A$2:$A$100),B17&gt;MAX(MOEX!$A$2:$A$100)),"Ближайшее значение",IF(COUNTIF(MOEX!$A$2:$A$100,B17)&gt;0,"Точное совпадение","Интерполяция"))</f>
        <v>Точное совпадение</v>
      </c>
      <c r="I17" s="0" t="n">
        <f aca="false">G17+$Q$2</f>
        <v>19.67</v>
      </c>
      <c r="J17" s="0" t="n">
        <f aca="false">G17-$Q$2</f>
        <v>11.67</v>
      </c>
      <c r="K17" s="0" t="n">
        <f aca="false">G17-0.65*$Q$3*EXP(-B17/$Q$5)+0.9*$Q$4*(1-EXP(-B17/$Q$5))</f>
        <v>17.8165637891966</v>
      </c>
      <c r="L17" s="0" t="n">
        <f aca="false">G17+0.8*$Q$3*EXP(-B17/$Q$5)-0.6*$Q$4*(1-EXP(-B17/$Q$5))</f>
        <v>14.4094840374219</v>
      </c>
      <c r="M17" s="0" t="n">
        <f aca="false">G17+$Q$3*EXP(-B17/$Q$5)</f>
        <v>16.1350724460533</v>
      </c>
      <c r="N17" s="5" t="n">
        <f aca="false">G17-$Q$3*EXP(-B17/$Q$5)</f>
        <v>15.2049275539467</v>
      </c>
    </row>
    <row r="18" customFormat="false" ht="16.25" hidden="false" customHeight="false" outlineLevel="0" collapsed="false">
      <c r="A18" s="4" t="n">
        <v>17</v>
      </c>
      <c r="B18" s="0" t="n">
        <v>12.5</v>
      </c>
      <c r="C18" s="0" t="n">
        <f aca="false">IF(B18&lt;MIN(MOEX!$A$2:$A$100),MOEX!$A$2,INDEX(MOEX!$A$2:$A$100,MATCH(B18,MOEX!$A$2:$A$100,1)))</f>
        <v>12.5</v>
      </c>
      <c r="D18" s="0" t="n">
        <f aca="false">INDEX(MOEX!$B$2:$B$100,MATCH(C18,MOEX!$A$2:$A$100,0))</f>
        <v>15.765</v>
      </c>
      <c r="E18" s="0" t="n">
        <f aca="false">IF(B18&gt;=MAX(MOEX!$A$2:$A$100),MAX(MOEX!$A$2:$A$100),INDEX(MOEX!$A$2:$A$100,MATCH(B18,MOEX!$A$2:$A$100,1)+1))</f>
        <v>17.5</v>
      </c>
      <c r="F18" s="0" t="n">
        <f aca="false">INDEX(MOEX!$B$2:$B$100,MATCH(E18,MOEX!$A$2:$A$100,0))</f>
        <v>15.895</v>
      </c>
      <c r="G18" s="0" t="n">
        <f aca="false">IF(B18&lt;MIN(MOEX!$A$2:$A$100),INDEX(MOEX!$B$2:$B$100,1),IF(B18&gt;MAX(MOEX!$A$2:$A$100),INDEX(MOEX!$B$2:$B$100,COUNT(MOEX!$B$2:$B$100)),IF(COUNTIF(MOEX!$A$2:$A$100,B18)&gt;0,INDEX(MOEX!$B$2:$B$100,MATCH(B18,MOEX!$A$2:$A$100,0)),D18+(B18-C18)*(F18-D18)/(E18-C18))))</f>
        <v>15.765</v>
      </c>
      <c r="H18" s="0" t="str">
        <f aca="false">IF(OR(B18&lt;MIN(MOEX!$A$2:$A$100),B18&gt;MAX(MOEX!$A$2:$A$100)),"Ближайшее значение",IF(COUNTIF(MOEX!$A$2:$A$100,B18)&gt;0,"Точное совпадение","Интерполяция"))</f>
        <v>Точное совпадение</v>
      </c>
      <c r="I18" s="0" t="n">
        <f aca="false">G18+$Q$2</f>
        <v>19.765</v>
      </c>
      <c r="J18" s="0" t="n">
        <f aca="false">G18-$Q$2</f>
        <v>11.765</v>
      </c>
      <c r="K18" s="0" t="n">
        <f aca="false">G18-0.65*$Q$3*EXP(-B18/$Q$5)+0.9*$Q$4*(1-EXP(-B18/$Q$5))</f>
        <v>18.2035752449407</v>
      </c>
      <c r="L18" s="0" t="n">
        <f aca="false">G18+0.8*$Q$3*EXP(-B18/$Q$5)-0.6*$Q$4*(1-EXP(-B18/$Q$5))</f>
        <v>14.2198342150158</v>
      </c>
      <c r="M18" s="0" t="n">
        <f aca="false">G18+$Q$3*EXP(-B18/$Q$5)</f>
        <v>15.984684668117</v>
      </c>
      <c r="N18" s="5" t="n">
        <f aca="false">G18-$Q$3*EXP(-B18/$Q$5)</f>
        <v>15.545315331883</v>
      </c>
    </row>
    <row r="19" customFormat="false" ht="16.25" hidden="false" customHeight="false" outlineLevel="0" collapsed="false">
      <c r="A19" s="4" t="n">
        <v>18</v>
      </c>
      <c r="B19" s="0" t="n">
        <v>17.5</v>
      </c>
      <c r="C19" s="0" t="n">
        <f aca="false">IF(B19&lt;MIN(MOEX!$A$2:$A$100),MOEX!$A$2,INDEX(MOEX!$A$2:$A$100,MATCH(B19,MOEX!$A$2:$A$100,1)))</f>
        <v>17.5</v>
      </c>
      <c r="D19" s="0" t="n">
        <f aca="false">INDEX(MOEX!$B$2:$B$100,MATCH(C19,MOEX!$A$2:$A$100,0))</f>
        <v>15.895</v>
      </c>
      <c r="E19" s="0" t="n">
        <f aca="false">IF(B19&gt;=MAX(MOEX!$A$2:$A$100),MAX(MOEX!$A$2:$A$100),INDEX(MOEX!$A$2:$A$100,MATCH(B19,MOEX!$A$2:$A$100,1)+1))</f>
        <v>25</v>
      </c>
      <c r="F19" s="0" t="n">
        <f aca="false">INDEX(MOEX!$B$2:$B$100,MATCH(E19,MOEX!$A$2:$A$100,0))</f>
        <v>16.06</v>
      </c>
      <c r="G19" s="0" t="n">
        <f aca="false">IF(B19&lt;MIN(MOEX!$A$2:$A$100),INDEX(MOEX!$B$2:$B$100,1),IF(B19&gt;MAX(MOEX!$A$2:$A$100),INDEX(MOEX!$B$2:$B$100,COUNT(MOEX!$B$2:$B$100)),IF(COUNTIF(MOEX!$A$2:$A$100,B19)&gt;0,INDEX(MOEX!$B$2:$B$100,MATCH(B19,MOEX!$A$2:$A$100,0)),D19+(B19-C19)*(F19-D19)/(E19-C19))))</f>
        <v>15.895</v>
      </c>
      <c r="H19" s="0" t="str">
        <f aca="false">IF(OR(B19&lt;MIN(MOEX!$A$2:$A$100),B19&gt;MAX(MOEX!$A$2:$A$100)),"Ближайшее значение",IF(COUNTIF(MOEX!$A$2:$A$100,B19)&gt;0,"Точное совпадение","Интерполяция"))</f>
        <v>Точное совпадение</v>
      </c>
      <c r="I19" s="0" t="n">
        <f aca="false">G19+$Q$2</f>
        <v>19.895</v>
      </c>
      <c r="J19" s="0" t="n">
        <f aca="false">G19-$Q$2</f>
        <v>11.895</v>
      </c>
      <c r="K19" s="0" t="n">
        <f aca="false">G19-0.65*$Q$3*EXP(-B19/$Q$5)+0.9*$Q$4*(1-EXP(-B19/$Q$5))</f>
        <v>18.5201005536575</v>
      </c>
      <c r="L19" s="0" t="n">
        <f aca="false">G19+0.8*$Q$3*EXP(-B19/$Q$5)-0.6*$Q$4*(1-EXP(-B19/$Q$5))</f>
        <v>14.1680112250061</v>
      </c>
      <c r="M19" s="0" t="n">
        <f aca="false">G19+$Q$3*EXP(-B19/$Q$5)</f>
        <v>15.9579407112122</v>
      </c>
      <c r="N19" s="5" t="n">
        <f aca="false">G19-$Q$3*EXP(-B19/$Q$5)</f>
        <v>15.8320592887878</v>
      </c>
    </row>
    <row r="20" customFormat="false" ht="16.25" hidden="false" customHeight="false" outlineLevel="0" collapsed="false">
      <c r="A20" s="10" t="n">
        <v>19</v>
      </c>
      <c r="B20" s="11" t="n">
        <v>25</v>
      </c>
      <c r="C20" s="11" t="n">
        <f aca="false">IF(B20&lt;MIN(MOEX!$A$2:$A$100),MOEX!$A$2,INDEX(MOEX!$A$2:$A$100,MATCH(B20,MOEX!$A$2:$A$100,1)))</f>
        <v>25</v>
      </c>
      <c r="D20" s="11" t="n">
        <f aca="false">INDEX(MOEX!$B$2:$B$100,MATCH(C20,MOEX!$A$2:$A$100,0))</f>
        <v>16.06</v>
      </c>
      <c r="E20" s="11" t="n">
        <f aca="false">IF(B20&gt;=MAX(MOEX!$A$2:$A$100),MAX(MOEX!$A$2:$A$100),INDEX(MOEX!$A$2:$A$100,MATCH(B20,MOEX!$A$2:$A$100,1)+1))</f>
        <v>25</v>
      </c>
      <c r="F20" s="11" t="n">
        <f aca="false">INDEX(MOEX!$B$2:$B$100,MATCH(E20,MOEX!$A$2:$A$100,0))</f>
        <v>16.06</v>
      </c>
      <c r="G20" s="11" t="n">
        <f aca="false">IF(B20&lt;MIN(MOEX!$A$2:$A$100),INDEX(MOEX!$B$2:$B$100,1),IF(B20&gt;MAX(MOEX!$A$2:$A$100),INDEX(MOEX!$B$2:$B$100,COUNT(MOEX!$B$2:$B$100)),IF(COUNTIF(MOEX!$A$2:$A$100,B20)&gt;0,INDEX(MOEX!$B$2:$B$100,MATCH(B20,MOEX!$A$2:$A$100,0)),D20+(B20-C20)*(F20-D20)/(E20-C20))))</f>
        <v>16.06</v>
      </c>
      <c r="H20" s="12" t="str">
        <f aca="false">IF(OR(B20&lt;MIN(MOEX!$A$2:$A$100),B20&gt;MAX(MOEX!$A$2:$A$100)),"Ближайшее значение",IF(COUNTIF(MOEX!$A$2:$A$100,B20)&gt;0,"Точное совпадение","Интерполяция"))</f>
        <v>Точное совпадение</v>
      </c>
      <c r="I20" s="11" t="n">
        <f aca="false">G20+$Q$2</f>
        <v>20.06</v>
      </c>
      <c r="J20" s="11" t="n">
        <f aca="false">G20-$Q$2</f>
        <v>12.06</v>
      </c>
      <c r="K20" s="11" t="n">
        <f aca="false">G20-0.65*$Q$3*EXP(-B20/$Q$5)+0.9*$Q$4*(1-EXP(-B20/$Q$5))</f>
        <v>18.7485137978894</v>
      </c>
      <c r="L20" s="11" t="n">
        <f aca="false">G20+0.8*$Q$3*EXP(-B20/$Q$5)-0.6*$Q$4*(1-EXP(-B20/$Q$5))</f>
        <v>14.2711966339901</v>
      </c>
      <c r="M20" s="11" t="n">
        <f aca="false">G20+$Q$3*EXP(-B20/$Q$5)</f>
        <v>16.0696522706811</v>
      </c>
      <c r="N20" s="13" t="n">
        <f aca="false">G20-$Q$3*EXP(-B20/$Q$5)</f>
        <v>16.0503477293189</v>
      </c>
    </row>
  </sheetData>
  <conditionalFormatting sqref="H2:H20">
    <cfRule type="cellIs" priority="2" operator="equal" aboveAverage="0" equalAverage="0" bottom="0" percent="0" rank="0" text="" dxfId="2">
      <formula>"Базовое Значение"</formula>
    </cfRule>
    <cfRule type="cellIs" priority="3" operator="equal" aboveAverage="0" equalAverage="0" bottom="0" percent="0" rank="0" text="" dxfId="3">
      <formula>"Интерполяция"</formula>
    </cfRule>
    <cfRule type="cellIs" priority="4" operator="equal" aboveAverage="0" equalAverage="0" bottom="0" percent="0" rank="0" text="" dxfId="4">
      <formula>"Экстраполяция"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37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2026-10-08T19:07:18Z</dcterms:created>
  <dc:creator>openpyxl</dc:creator>
  <dc:description/>
  <dc:language>ru-RU</dc:language>
  <cp:lastModifiedBy/>
  <dcterms:modified xsi:type="dcterms:W3CDTF">2026-10-09T19:29:28Z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