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60" tabRatio="500" activeTab="1"/>
  </bookViews>
  <sheets>
    <sheet name="MOEX" sheetId="1" r:id="rId1"/>
    <sheet name="базовая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<sst xmlns="http://schemas.openxmlformats.org/spreadsheetml/2006/main" count="23" uniqueCount="23">
  <si>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Срок, лет</t>
  </si>
  <si>
    <t>Доходность, %</t>
  </si>
  <si>
    <t>№</t>
  </si>
  <si>
    <t>Т, лет</t>
  </si>
  <si>
    <t>Нижний срок MOEX</t>
  </si>
  <si>
    <t>Нижняя ставка, %</t>
  </si>
  <si>
    <t>Верхний срок MOEX</t>
  </si>
  <si>
    <t>Верхняя ставка, %</t>
  </si>
  <si>
    <t>БС, %</t>
  </si>
  <si>
    <t>Метод</t>
  </si>
  <si>
    <t>Сдвиг вверх, %</t>
  </si>
  <si>
    <t>Сдвиг вниз %</t>
  </si>
  <si>
    <t>Увеличение наклона, %</t>
  </si>
  <si>
    <t>Уменьшение наклона, %</t>
  </si>
  <si>
    <t>Рост коротких, %</t>
  </si>
  <si>
    <t>Снижение коротких, %</t>
  </si>
  <si>
    <t>Параметры рубля</t>
  </si>
  <si>
    <t>ΔПар</t>
  </si>
  <si>
    <t>СКС</t>
  </si>
  <si>
    <t>СДС</t>
  </si>
  <si>
    <t>t</t>
  </si>
  <si>
    <t>-ближайшее известное значение</t>
  </si>
  <si>
    <t>-интерполяция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</si>
</sst>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₽&quot;* #,##0.00_-;\-&quot;₽&quot;* #,##0.00_-;_-&quot;₽&quot;* &quot;-&quot;??_-;_-@_-"/>
    <numFmt numFmtId="177" formatCode="_-* #,##0_-;\-&quot;₽&quot;* #,##0_-;_-&quot;₽&quot;* &quot;-&quot;_-;_-@_-"/>
  </numFmts>
  <fonts count="23">
    <font>
      <sz val="11"/>
      <color theme="1"/>
      <name val="Calibri"/>
      <charset val="1"/>
    </font>
    <font>
      <b/>
      <sz val="11"/>
      <color theme="1"/>
      <name val="Calibri"/>
      <charset val="1"/>
    </font>
    <font>
      <sz val="11"/>
      <color theme="1"/>
      <name val="Calibri"/>
      <charset val="134"/>
      <scheme val="minor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77BC65"/>
        <bgColor rgb="FF99CC00"/>
      </patternFill>
    </fill>
    <fill>
      <patternFill patternType="solid">
        <fgColor rgb="FF729FCF"/>
        <bgColor rgb="FF808080"/>
      </patternFill>
    </fill>
    <fill>
      <patternFill patternType="solid">
        <fgColor rgb="FFFFB66C"/>
        <bgColor rgb="FFFF99CC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3" fillId="0" borderId="0"/>
    <xf numFmtId="176" fontId="3" fillId="0" borderId="0"/>
    <xf numFmtId="9" fontId="3" fillId="0" borderId="0"/>
    <xf numFmtId="41" fontId="3" fillId="0" borderId="0"/>
    <xf numFmtId="177" fontId="3" fillId="0" borderId="0"/>
    <xf numFmtId="0" fontId="4" fillId="0" borderId="0">
      <alignment vertical="center"/>
    </xf>
    <xf numFmtId="0" fontId="5" fillId="0" borderId="0">
      <alignment vertical="center"/>
    </xf>
    <xf numFmtId="0" fontId="2" fillId="4" borderId="9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10">
      <alignment vertical="center"/>
    </xf>
    <xf numFmtId="0" fontId="10" fillId="0" borderId="10">
      <alignment vertical="center"/>
    </xf>
    <xf numFmtId="0" fontId="11" fillId="0" borderId="11">
      <alignment vertical="center"/>
    </xf>
    <xf numFmtId="0" fontId="11" fillId="0" borderId="0">
      <alignment vertical="center"/>
    </xf>
    <xf numFmtId="0" fontId="12" fillId="5" borderId="12">
      <alignment vertical="center"/>
    </xf>
    <xf numFmtId="0" fontId="13" fillId="6" borderId="13">
      <alignment vertical="center"/>
    </xf>
    <xf numFmtId="0" fontId="14" fillId="6" borderId="12">
      <alignment vertical="center"/>
    </xf>
    <xf numFmtId="0" fontId="15" fillId="7" borderId="14">
      <alignment vertical="center"/>
    </xf>
    <xf numFmtId="0" fontId="16" fillId="0" borderId="15">
      <alignment vertical="center"/>
    </xf>
    <xf numFmtId="0" fontId="17" fillId="0" borderId="16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3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2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  <xf numFmtId="0" fontId="0" fillId="33" borderId="0"/>
    <xf numFmtId="0" fontId="0" fillId="34" borderId="0"/>
    <xf numFmtId="0" fontId="0" fillId="35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Border="1"/>
    <xf numFmtId="0" fontId="0" fillId="0" borderId="4" xfId="0" applyBorder="1"/>
    <xf numFmtId="0" fontId="0" fillId="2" borderId="0" xfId="0" applyFill="1"/>
    <xf numFmtId="0" fontId="0" fillId="0" borderId="0" xfId="0" applyFill="1"/>
    <xf numFmtId="0" fontId="0" fillId="0" borderId="5" xfId="0" applyBorder="1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0" xfId="0" applyBorder="1"/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6" xfId="0" applyBorder="1"/>
    <xf numFmtId="0" fontId="0" fillId="0" borderId="8" xfId="0" applyBorder="1"/>
    <xf numFmtId="0" fontId="0" fillId="0" borderId="7" xfId="0" applyBorder="1"/>
    <xf numFmtId="0" fontId="0" fillId="0" borderId="0" xfId="0" applyBorder="1"/>
    <xf numFmtId="0" fontId="0" fillId="3" borderId="0" xfId="0" applyFill="1"/>
    <xf numFmtId="49" fontId="0" fillId="0" borderId="0" xfId="0" applyNumberFormat="1"/>
    <xf numFmtId="0" fontId="2" fillId="0" borderId="0" xfId="0" applyFont="1" applyAlignment="1">
      <alignment vertical="center"/>
    </xf>
    <xf numFmtId="0" fontId="0" fillId="0" borderId="0" xfId="0" quotePrefix="1"/>
  </cellXfs>
  <cellStyles count="52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Untitled1" xfId="49"/>
    <cellStyle name="Untitled2" xfId="50"/>
    <cellStyle name="Untitled3" xfId="51"/>
  </cellStyles>
  <dxfs count="23">
    <dxf>
      <font>
        <name val="Calibri"/>
        <scheme val="none"/>
        <charset val="1"/>
        <family val="2"/>
        <sz val="11"/>
        <color rgb="FF000000"/>
      </font>
      <fill>
        <patternFill patternType="solid">
          <bgColor rgb="FF77BC65"/>
        </patternFill>
      </fill>
    </dxf>
    <dxf>
      <font>
        <name val="Calibri"/>
        <scheme val="none"/>
        <charset val="1"/>
        <family val="2"/>
        <sz val="11"/>
        <color rgb="FF000000"/>
      </font>
      <fill>
        <patternFill patternType="solid">
          <bgColor rgb="FF729FCF"/>
        </patternFill>
      </fill>
    </dxf>
    <dxf>
      <font>
        <name val="Calibri"/>
        <scheme val="none"/>
        <charset val="1"/>
        <family val="2"/>
        <sz val="11"/>
        <color rgb="FF000000"/>
      </font>
      <fill>
        <patternFill patternType="solid">
          <bgColor rgb="FFFFB66C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729FC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B66C"/>
      <rgbColor rgb="003366FF"/>
      <rgbColor rgb="0033CCCC"/>
      <rgbColor rgb="0099CC00"/>
      <rgbColor rgb="00FFCC00"/>
      <rgbColor rgb="00FF9900"/>
      <rgbColor rgb="00FF6600"/>
      <rgbColor rgb="00666699"/>
      <rgbColor rgb="0077BC65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Базовая кривая </a:t>
            </a:r>
            <a:r>
              <a:rPr lang="en-US" altLang="ru-RU"/>
              <a:t>vs </a:t>
            </a:r>
            <a:r>
              <a:rPr altLang="en-US"/>
              <a:t>Сдвиг вверх</a:t>
            </a:r>
            <a:endParaRPr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538058799838905"/>
          <c:y val="0.0774460537984038"/>
          <c:w val="0.930621559940932"/>
          <c:h val="0.789575327618485"/>
        </c:manualLayout>
      </c:layout>
      <c:lineChart>
        <c:grouping val="standard"/>
        <c:varyColors val="0"/>
        <c:ser>
          <c:idx val="1"/>
          <c:order val="0"/>
          <c:tx>
            <c:strRef>
              <c:f>базовая!$G$1</c:f>
              <c:strCache>
                <c:ptCount val="1"/>
                <c:pt idx="0">
                  <c:v>БС,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базовая!$B$2:$B$20</c:f>
              <c:numCache>
                <c:formatCode>General</c:formatCode>
                <c:ptCount val="19"/>
                <c:pt idx="0" c:formatCode="General">
                  <c:v>0.0028</c:v>
                </c:pt>
                <c:pt idx="1" c:formatCode="General">
                  <c:v>0.0417</c:v>
                </c:pt>
                <c:pt idx="2" c:formatCode="General">
                  <c:v>0.1667</c:v>
                </c:pt>
                <c:pt idx="3" c:formatCode="General">
                  <c:v>0.375</c:v>
                </c:pt>
                <c:pt idx="4" c:formatCode="General">
                  <c:v>0.625</c:v>
                </c:pt>
                <c:pt idx="5" c:formatCode="General">
                  <c:v>0.875</c:v>
                </c:pt>
                <c:pt idx="6" c:formatCode="General">
                  <c:v>1.25</c:v>
                </c:pt>
                <c:pt idx="7" c:formatCode="General">
                  <c:v>1.75</c:v>
                </c:pt>
                <c:pt idx="8" c:formatCode="General">
                  <c:v>2.5</c:v>
                </c:pt>
                <c:pt idx="9" c:formatCode="General">
                  <c:v>3.5</c:v>
                </c:pt>
                <c:pt idx="10" c:formatCode="General">
                  <c:v>4.5</c:v>
                </c:pt>
                <c:pt idx="11" c:formatCode="General">
                  <c:v>5.5</c:v>
                </c:pt>
                <c:pt idx="12" c:formatCode="General">
                  <c:v>6.5</c:v>
                </c:pt>
                <c:pt idx="13" c:formatCode="General">
                  <c:v>7.5</c:v>
                </c:pt>
                <c:pt idx="14" c:formatCode="General">
                  <c:v>8.5</c:v>
                </c:pt>
                <c:pt idx="15" c:formatCode="General">
                  <c:v>9.5</c:v>
                </c:pt>
                <c:pt idx="16" c:formatCode="General">
                  <c:v>12.5</c:v>
                </c:pt>
                <c:pt idx="17" c:formatCode="General">
                  <c:v>17.5</c:v>
                </c:pt>
                <c:pt idx="18" c:formatCode="General">
                  <c:v>25</c:v>
                </c:pt>
              </c:numCache>
            </c:numRef>
          </c:cat>
          <c:val>
            <c:numRef>
              <c:f>базовая!$G$2:$G$24</c:f>
              <c:numCache>
                <c:formatCode>General</c:formatCode>
                <c:ptCount val="23"/>
                <c:pt idx="0">
                  <c:v>13.59</c:v>
                </c:pt>
                <c:pt idx="1">
                  <c:v>13.59</c:v>
                </c:pt>
                <c:pt idx="2">
                  <c:v>13.59</c:v>
                </c:pt>
                <c:pt idx="3">
                  <c:v>13.47</c:v>
                </c:pt>
                <c:pt idx="4">
                  <c:v>13.385</c:v>
                </c:pt>
                <c:pt idx="5">
                  <c:v>13.525</c:v>
                </c:pt>
                <c:pt idx="6">
                  <c:v>13.8675</c:v>
                </c:pt>
                <c:pt idx="7">
                  <c:v>14.3425</c:v>
                </c:pt>
                <c:pt idx="8">
                  <c:v>14.82</c:v>
                </c:pt>
                <c:pt idx="9">
                  <c:v>15.15</c:v>
                </c:pt>
                <c:pt idx="10">
                  <c:v>15.33</c:v>
                </c:pt>
                <c:pt idx="11">
                  <c:v>15.4575</c:v>
                </c:pt>
                <c:pt idx="12">
                  <c:v>15.5325</c:v>
                </c:pt>
                <c:pt idx="13">
                  <c:v>15.59</c:v>
                </c:pt>
                <c:pt idx="14">
                  <c:v>15.63</c:v>
                </c:pt>
                <c:pt idx="15">
                  <c:v>15.67</c:v>
                </c:pt>
                <c:pt idx="16">
                  <c:v>15.765</c:v>
                </c:pt>
                <c:pt idx="17">
                  <c:v>15.895</c:v>
                </c:pt>
                <c:pt idx="18">
                  <c:v>16.025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базовая!$I$1</c:f>
              <c:strCache>
                <c:ptCount val="1"/>
                <c:pt idx="0">
                  <c:v>Сдвиг вверх,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базовая!$B$2:$B$20</c:f>
              <c:numCache>
                <c:formatCode>General</c:formatCode>
                <c:ptCount val="19"/>
                <c:pt idx="0" c:formatCode="General">
                  <c:v>0.0028</c:v>
                </c:pt>
                <c:pt idx="1" c:formatCode="General">
                  <c:v>0.0417</c:v>
                </c:pt>
                <c:pt idx="2" c:formatCode="General">
                  <c:v>0.1667</c:v>
                </c:pt>
                <c:pt idx="3" c:formatCode="General">
                  <c:v>0.375</c:v>
                </c:pt>
                <c:pt idx="4" c:formatCode="General">
                  <c:v>0.625</c:v>
                </c:pt>
                <c:pt idx="5" c:formatCode="General">
                  <c:v>0.875</c:v>
                </c:pt>
                <c:pt idx="6" c:formatCode="General">
                  <c:v>1.25</c:v>
                </c:pt>
                <c:pt idx="7" c:formatCode="General">
                  <c:v>1.75</c:v>
                </c:pt>
                <c:pt idx="8" c:formatCode="General">
                  <c:v>2.5</c:v>
                </c:pt>
                <c:pt idx="9" c:formatCode="General">
                  <c:v>3.5</c:v>
                </c:pt>
                <c:pt idx="10" c:formatCode="General">
                  <c:v>4.5</c:v>
                </c:pt>
                <c:pt idx="11" c:formatCode="General">
                  <c:v>5.5</c:v>
                </c:pt>
                <c:pt idx="12" c:formatCode="General">
                  <c:v>6.5</c:v>
                </c:pt>
                <c:pt idx="13" c:formatCode="General">
                  <c:v>7.5</c:v>
                </c:pt>
                <c:pt idx="14" c:formatCode="General">
                  <c:v>8.5</c:v>
                </c:pt>
                <c:pt idx="15" c:formatCode="General">
                  <c:v>9.5</c:v>
                </c:pt>
                <c:pt idx="16" c:formatCode="General">
                  <c:v>12.5</c:v>
                </c:pt>
                <c:pt idx="17" c:formatCode="General">
                  <c:v>17.5</c:v>
                </c:pt>
                <c:pt idx="18" c:formatCode="General">
                  <c:v>25</c:v>
                </c:pt>
              </c:numCache>
            </c:numRef>
          </c:cat>
          <c:val>
            <c:numRef>
              <c:f>базовая!$I$2:$I$24</c:f>
              <c:numCache>
                <c:formatCode>General</c:formatCode>
                <c:ptCount val="23"/>
                <c:pt idx="0">
                  <c:v>17.59</c:v>
                </c:pt>
                <c:pt idx="1">
                  <c:v>17.59</c:v>
                </c:pt>
                <c:pt idx="2">
                  <c:v>17.59</c:v>
                </c:pt>
                <c:pt idx="3">
                  <c:v>17.47</c:v>
                </c:pt>
                <c:pt idx="4">
                  <c:v>17.385</c:v>
                </c:pt>
                <c:pt idx="5">
                  <c:v>17.525</c:v>
                </c:pt>
                <c:pt idx="6">
                  <c:v>17.8675</c:v>
                </c:pt>
                <c:pt idx="7">
                  <c:v>18.3425</c:v>
                </c:pt>
                <c:pt idx="8">
                  <c:v>18.82</c:v>
                </c:pt>
                <c:pt idx="9">
                  <c:v>19.15</c:v>
                </c:pt>
                <c:pt idx="10">
                  <c:v>19.33</c:v>
                </c:pt>
                <c:pt idx="11">
                  <c:v>19.4575</c:v>
                </c:pt>
                <c:pt idx="12">
                  <c:v>19.5325</c:v>
                </c:pt>
                <c:pt idx="13">
                  <c:v>19.59</c:v>
                </c:pt>
                <c:pt idx="14">
                  <c:v>19.63</c:v>
                </c:pt>
                <c:pt idx="15">
                  <c:v>19.67</c:v>
                </c:pt>
                <c:pt idx="16">
                  <c:v>19.765</c:v>
                </c:pt>
                <c:pt idx="17">
                  <c:v>19.895</c:v>
                </c:pt>
                <c:pt idx="18">
                  <c:v>20.025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7567120"/>
        <c:axId val="715841737"/>
      </c:lineChart>
      <c:catAx>
        <c:axId val="23756712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Срок до середины интервала, лет</a:t>
                </a:r>
              </a:p>
            </c:rich>
          </c:tx>
          <c:layout>
            <c:manualLayout>
              <c:xMode val="edge"/>
              <c:yMode val="edge"/>
              <c:x val="0.397160934900223"/>
              <c:y val="0.9135424747918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5841737"/>
        <c:crosses val="autoZero"/>
        <c:auto val="1"/>
        <c:lblAlgn val="ctr"/>
        <c:lblOffset val="100"/>
        <c:noMultiLvlLbl val="0"/>
      </c:catAx>
      <c:valAx>
        <c:axId val="715841737"/>
        <c:scaling>
          <c:orientation val="minMax"/>
          <c:max val="21"/>
          <c:min val="7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Ставка, % годовых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756712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1498187676198"/>
          <c:y val="0.95300029559562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Базовая кривая </a:t>
            </a:r>
            <a:r>
              <a:rPr lang="en-US" altLang="ru-RU"/>
              <a:t>vs </a:t>
            </a:r>
            <a:r>
              <a:rPr altLang="en-US"/>
              <a:t>Сдвиг вниз</a:t>
            </a:r>
            <a:endParaRPr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538058799838905"/>
          <c:y val="0.0796039743476927"/>
          <c:w val="0.930621559940932"/>
          <c:h val="0.789575327618485"/>
        </c:manualLayout>
      </c:layout>
      <c:lineChart>
        <c:grouping val="standard"/>
        <c:varyColors val="0"/>
        <c:ser>
          <c:idx val="1"/>
          <c:order val="0"/>
          <c:tx>
            <c:strRef>
              <c:f>базовая!$G$1</c:f>
              <c:strCache>
                <c:ptCount val="1"/>
                <c:pt idx="0">
                  <c:v>БС,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базовая!$B$2:$B$20</c:f>
              <c:numCache>
                <c:formatCode>General</c:formatCode>
                <c:ptCount val="19"/>
                <c:pt idx="0" c:formatCode="General">
                  <c:v>0.0028</c:v>
                </c:pt>
                <c:pt idx="1" c:formatCode="General">
                  <c:v>0.0417</c:v>
                </c:pt>
                <c:pt idx="2" c:formatCode="General">
                  <c:v>0.1667</c:v>
                </c:pt>
                <c:pt idx="3" c:formatCode="General">
                  <c:v>0.375</c:v>
                </c:pt>
                <c:pt idx="4" c:formatCode="General">
                  <c:v>0.625</c:v>
                </c:pt>
                <c:pt idx="5" c:formatCode="General">
                  <c:v>0.875</c:v>
                </c:pt>
                <c:pt idx="6" c:formatCode="General">
                  <c:v>1.25</c:v>
                </c:pt>
                <c:pt idx="7" c:formatCode="General">
                  <c:v>1.75</c:v>
                </c:pt>
                <c:pt idx="8" c:formatCode="General">
                  <c:v>2.5</c:v>
                </c:pt>
                <c:pt idx="9" c:formatCode="General">
                  <c:v>3.5</c:v>
                </c:pt>
                <c:pt idx="10" c:formatCode="General">
                  <c:v>4.5</c:v>
                </c:pt>
                <c:pt idx="11" c:formatCode="General">
                  <c:v>5.5</c:v>
                </c:pt>
                <c:pt idx="12" c:formatCode="General">
                  <c:v>6.5</c:v>
                </c:pt>
                <c:pt idx="13" c:formatCode="General">
                  <c:v>7.5</c:v>
                </c:pt>
                <c:pt idx="14" c:formatCode="General">
                  <c:v>8.5</c:v>
                </c:pt>
                <c:pt idx="15" c:formatCode="General">
                  <c:v>9.5</c:v>
                </c:pt>
                <c:pt idx="16" c:formatCode="General">
                  <c:v>12.5</c:v>
                </c:pt>
                <c:pt idx="17" c:formatCode="General">
                  <c:v>17.5</c:v>
                </c:pt>
                <c:pt idx="18" c:formatCode="General">
                  <c:v>25</c:v>
                </c:pt>
              </c:numCache>
            </c:numRef>
          </c:cat>
          <c:val>
            <c:numRef>
              <c:f>базовая!$G$2:$G$24</c:f>
              <c:numCache>
                <c:formatCode>General</c:formatCode>
                <c:ptCount val="23"/>
                <c:pt idx="0">
                  <c:v>13.59</c:v>
                </c:pt>
                <c:pt idx="1">
                  <c:v>13.59</c:v>
                </c:pt>
                <c:pt idx="2">
                  <c:v>13.59</c:v>
                </c:pt>
                <c:pt idx="3">
                  <c:v>13.47</c:v>
                </c:pt>
                <c:pt idx="4">
                  <c:v>13.385</c:v>
                </c:pt>
                <c:pt idx="5">
                  <c:v>13.525</c:v>
                </c:pt>
                <c:pt idx="6">
                  <c:v>13.8675</c:v>
                </c:pt>
                <c:pt idx="7">
                  <c:v>14.3425</c:v>
                </c:pt>
                <c:pt idx="8">
                  <c:v>14.82</c:v>
                </c:pt>
                <c:pt idx="9">
                  <c:v>15.15</c:v>
                </c:pt>
                <c:pt idx="10">
                  <c:v>15.33</c:v>
                </c:pt>
                <c:pt idx="11">
                  <c:v>15.4575</c:v>
                </c:pt>
                <c:pt idx="12">
                  <c:v>15.5325</c:v>
                </c:pt>
                <c:pt idx="13">
                  <c:v>15.59</c:v>
                </c:pt>
                <c:pt idx="14">
                  <c:v>15.63</c:v>
                </c:pt>
                <c:pt idx="15">
                  <c:v>15.67</c:v>
                </c:pt>
                <c:pt idx="16">
                  <c:v>15.765</c:v>
                </c:pt>
                <c:pt idx="17">
                  <c:v>15.895</c:v>
                </c:pt>
                <c:pt idx="18">
                  <c:v>16.025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базовая!$J$1</c:f>
              <c:strCache>
                <c:ptCount val="1"/>
                <c:pt idx="0">
                  <c:v>Сдвиг вниз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базовая!$B$2:$B$20</c:f>
              <c:numCache>
                <c:formatCode>General</c:formatCode>
                <c:ptCount val="19"/>
                <c:pt idx="0" c:formatCode="General">
                  <c:v>0.0028</c:v>
                </c:pt>
                <c:pt idx="1" c:formatCode="General">
                  <c:v>0.0417</c:v>
                </c:pt>
                <c:pt idx="2" c:formatCode="General">
                  <c:v>0.1667</c:v>
                </c:pt>
                <c:pt idx="3" c:formatCode="General">
                  <c:v>0.375</c:v>
                </c:pt>
                <c:pt idx="4" c:formatCode="General">
                  <c:v>0.625</c:v>
                </c:pt>
                <c:pt idx="5" c:formatCode="General">
                  <c:v>0.875</c:v>
                </c:pt>
                <c:pt idx="6" c:formatCode="General">
                  <c:v>1.25</c:v>
                </c:pt>
                <c:pt idx="7" c:formatCode="General">
                  <c:v>1.75</c:v>
                </c:pt>
                <c:pt idx="8" c:formatCode="General">
                  <c:v>2.5</c:v>
                </c:pt>
                <c:pt idx="9" c:formatCode="General">
                  <c:v>3.5</c:v>
                </c:pt>
                <c:pt idx="10" c:formatCode="General">
                  <c:v>4.5</c:v>
                </c:pt>
                <c:pt idx="11" c:formatCode="General">
                  <c:v>5.5</c:v>
                </c:pt>
                <c:pt idx="12" c:formatCode="General">
                  <c:v>6.5</c:v>
                </c:pt>
                <c:pt idx="13" c:formatCode="General">
                  <c:v>7.5</c:v>
                </c:pt>
                <c:pt idx="14" c:formatCode="General">
                  <c:v>8.5</c:v>
                </c:pt>
                <c:pt idx="15" c:formatCode="General">
                  <c:v>9.5</c:v>
                </c:pt>
                <c:pt idx="16" c:formatCode="General">
                  <c:v>12.5</c:v>
                </c:pt>
                <c:pt idx="17" c:formatCode="General">
                  <c:v>17.5</c:v>
                </c:pt>
                <c:pt idx="18" c:formatCode="General">
                  <c:v>25</c:v>
                </c:pt>
              </c:numCache>
            </c:numRef>
          </c:cat>
          <c:val>
            <c:numRef>
              <c:f>базовая!$J$2:$J$20</c:f>
              <c:numCache>
                <c:formatCode>General</c:formatCode>
                <c:ptCount val="19"/>
                <c:pt idx="0">
                  <c:v>9.59</c:v>
                </c:pt>
                <c:pt idx="1">
                  <c:v>9.59</c:v>
                </c:pt>
                <c:pt idx="2">
                  <c:v>9.59</c:v>
                </c:pt>
                <c:pt idx="3">
                  <c:v>9.47</c:v>
                </c:pt>
                <c:pt idx="4">
                  <c:v>9.385</c:v>
                </c:pt>
                <c:pt idx="5">
                  <c:v>9.525</c:v>
                </c:pt>
                <c:pt idx="6">
                  <c:v>9.8675</c:v>
                </c:pt>
                <c:pt idx="7">
                  <c:v>10.3425</c:v>
                </c:pt>
                <c:pt idx="8">
                  <c:v>10.82</c:v>
                </c:pt>
                <c:pt idx="9">
                  <c:v>11.15</c:v>
                </c:pt>
                <c:pt idx="10">
                  <c:v>11.33</c:v>
                </c:pt>
                <c:pt idx="11">
                  <c:v>11.4575</c:v>
                </c:pt>
                <c:pt idx="12">
                  <c:v>11.5325</c:v>
                </c:pt>
                <c:pt idx="13">
                  <c:v>11.59</c:v>
                </c:pt>
                <c:pt idx="14">
                  <c:v>11.63</c:v>
                </c:pt>
                <c:pt idx="15">
                  <c:v>11.67</c:v>
                </c:pt>
                <c:pt idx="16">
                  <c:v>11.765</c:v>
                </c:pt>
                <c:pt idx="17">
                  <c:v>11.895</c:v>
                </c:pt>
                <c:pt idx="18">
                  <c:v>12.025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7567120"/>
        <c:axId val="715841737"/>
      </c:lineChart>
      <c:catAx>
        <c:axId val="23756712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Срок до середины интервала, лет</a:t>
                </a:r>
              </a:p>
            </c:rich>
          </c:tx>
          <c:layout>
            <c:manualLayout>
              <c:xMode val="edge"/>
              <c:yMode val="edge"/>
              <c:x val="0.397160934900223"/>
              <c:y val="0.9135424747918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5841737"/>
        <c:crosses val="autoZero"/>
        <c:auto val="1"/>
        <c:lblAlgn val="ctr"/>
        <c:lblOffset val="100"/>
        <c:noMultiLvlLbl val="0"/>
      </c:catAx>
      <c:valAx>
        <c:axId val="715841737"/>
        <c:scaling>
          <c:orientation val="minMax"/>
          <c:max val="21"/>
          <c:min val="7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Ставка, % годовых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756712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6065011047588"/>
          <c:y val="0.95300029559562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e96c6aa-6377-4019-8754-e7dd00b4341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anchor="ctr"/>
    <a:lstStyle/>
    <a:p>
      <a:pPr>
        <a:defRPr lang="ru-RU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Базовая кривая </a:t>
            </a:r>
            <a:r>
              <a:rPr lang="en-US" altLang="ru-RU"/>
              <a:t>vs </a:t>
            </a:r>
            <a:r>
              <a:rPr altLang="en-US"/>
              <a:t>Увеличение наклона</a:t>
            </a:r>
            <a:endParaRPr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538058799838905"/>
          <c:y val="0.0774460537984038"/>
          <c:w val="0.930621559940932"/>
          <c:h val="0.789575327618485"/>
        </c:manualLayout>
      </c:layout>
      <c:lineChart>
        <c:grouping val="standard"/>
        <c:varyColors val="0"/>
        <c:ser>
          <c:idx val="1"/>
          <c:order val="0"/>
          <c:tx>
            <c:strRef>
              <c:f>базовая!$G$1</c:f>
              <c:strCache>
                <c:ptCount val="1"/>
                <c:pt idx="0">
                  <c:v>БС,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базовая!$B$2:$B$20</c:f>
              <c:numCache>
                <c:formatCode>General</c:formatCode>
                <c:ptCount val="19"/>
                <c:pt idx="0" c:formatCode="General">
                  <c:v>0.0028</c:v>
                </c:pt>
                <c:pt idx="1" c:formatCode="General">
                  <c:v>0.0417</c:v>
                </c:pt>
                <c:pt idx="2" c:formatCode="General">
                  <c:v>0.1667</c:v>
                </c:pt>
                <c:pt idx="3" c:formatCode="General">
                  <c:v>0.375</c:v>
                </c:pt>
                <c:pt idx="4" c:formatCode="General">
                  <c:v>0.625</c:v>
                </c:pt>
                <c:pt idx="5" c:formatCode="General">
                  <c:v>0.875</c:v>
                </c:pt>
                <c:pt idx="6" c:formatCode="General">
                  <c:v>1.25</c:v>
                </c:pt>
                <c:pt idx="7" c:formatCode="General">
                  <c:v>1.75</c:v>
                </c:pt>
                <c:pt idx="8" c:formatCode="General">
                  <c:v>2.5</c:v>
                </c:pt>
                <c:pt idx="9" c:formatCode="General">
                  <c:v>3.5</c:v>
                </c:pt>
                <c:pt idx="10" c:formatCode="General">
                  <c:v>4.5</c:v>
                </c:pt>
                <c:pt idx="11" c:formatCode="General">
                  <c:v>5.5</c:v>
                </c:pt>
                <c:pt idx="12" c:formatCode="General">
                  <c:v>6.5</c:v>
                </c:pt>
                <c:pt idx="13" c:formatCode="General">
                  <c:v>7.5</c:v>
                </c:pt>
                <c:pt idx="14" c:formatCode="General">
                  <c:v>8.5</c:v>
                </c:pt>
                <c:pt idx="15" c:formatCode="General">
                  <c:v>9.5</c:v>
                </c:pt>
                <c:pt idx="16" c:formatCode="General">
                  <c:v>12.5</c:v>
                </c:pt>
                <c:pt idx="17" c:formatCode="General">
                  <c:v>17.5</c:v>
                </c:pt>
                <c:pt idx="18" c:formatCode="General">
                  <c:v>25</c:v>
                </c:pt>
              </c:numCache>
            </c:numRef>
          </c:cat>
          <c:val>
            <c:numRef>
              <c:f>базовая!$G$2:$G$24</c:f>
              <c:numCache>
                <c:formatCode>General</c:formatCode>
                <c:ptCount val="23"/>
                <c:pt idx="0">
                  <c:v>13.59</c:v>
                </c:pt>
                <c:pt idx="1">
                  <c:v>13.59</c:v>
                </c:pt>
                <c:pt idx="2">
                  <c:v>13.59</c:v>
                </c:pt>
                <c:pt idx="3">
                  <c:v>13.47</c:v>
                </c:pt>
                <c:pt idx="4">
                  <c:v>13.385</c:v>
                </c:pt>
                <c:pt idx="5">
                  <c:v>13.525</c:v>
                </c:pt>
                <c:pt idx="6">
                  <c:v>13.8675</c:v>
                </c:pt>
                <c:pt idx="7">
                  <c:v>14.3425</c:v>
                </c:pt>
                <c:pt idx="8">
                  <c:v>14.82</c:v>
                </c:pt>
                <c:pt idx="9">
                  <c:v>15.15</c:v>
                </c:pt>
                <c:pt idx="10">
                  <c:v>15.33</c:v>
                </c:pt>
                <c:pt idx="11">
                  <c:v>15.4575</c:v>
                </c:pt>
                <c:pt idx="12">
                  <c:v>15.5325</c:v>
                </c:pt>
                <c:pt idx="13">
                  <c:v>15.59</c:v>
                </c:pt>
                <c:pt idx="14">
                  <c:v>15.63</c:v>
                </c:pt>
                <c:pt idx="15">
                  <c:v>15.67</c:v>
                </c:pt>
                <c:pt idx="16">
                  <c:v>15.765</c:v>
                </c:pt>
                <c:pt idx="17">
                  <c:v>15.895</c:v>
                </c:pt>
                <c:pt idx="18">
                  <c:v>16.025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базовая!$K$1</c:f>
              <c:strCache>
                <c:ptCount val="1"/>
                <c:pt idx="0">
                  <c:v>Увеличение наклона,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базовая!$B$2:$B$20</c:f>
              <c:numCache>
                <c:formatCode>General</c:formatCode>
                <c:ptCount val="19"/>
                <c:pt idx="0" c:formatCode="General">
                  <c:v>0.0028</c:v>
                </c:pt>
                <c:pt idx="1" c:formatCode="General">
                  <c:v>0.0417</c:v>
                </c:pt>
                <c:pt idx="2" c:formatCode="General">
                  <c:v>0.1667</c:v>
                </c:pt>
                <c:pt idx="3" c:formatCode="General">
                  <c:v>0.375</c:v>
                </c:pt>
                <c:pt idx="4" c:formatCode="General">
                  <c:v>0.625</c:v>
                </c:pt>
                <c:pt idx="5" c:formatCode="General">
                  <c:v>0.875</c:v>
                </c:pt>
                <c:pt idx="6" c:formatCode="General">
                  <c:v>1.25</c:v>
                </c:pt>
                <c:pt idx="7" c:formatCode="General">
                  <c:v>1.75</c:v>
                </c:pt>
                <c:pt idx="8" c:formatCode="General">
                  <c:v>2.5</c:v>
                </c:pt>
                <c:pt idx="9" c:formatCode="General">
                  <c:v>3.5</c:v>
                </c:pt>
                <c:pt idx="10" c:formatCode="General">
                  <c:v>4.5</c:v>
                </c:pt>
                <c:pt idx="11" c:formatCode="General">
                  <c:v>5.5</c:v>
                </c:pt>
                <c:pt idx="12" c:formatCode="General">
                  <c:v>6.5</c:v>
                </c:pt>
                <c:pt idx="13" c:formatCode="General">
                  <c:v>7.5</c:v>
                </c:pt>
                <c:pt idx="14" c:formatCode="General">
                  <c:v>8.5</c:v>
                </c:pt>
                <c:pt idx="15" c:formatCode="General">
                  <c:v>9.5</c:v>
                </c:pt>
                <c:pt idx="16" c:formatCode="General">
                  <c:v>12.5</c:v>
                </c:pt>
                <c:pt idx="17" c:formatCode="General">
                  <c:v>17.5</c:v>
                </c:pt>
                <c:pt idx="18" c:formatCode="General">
                  <c:v>25</c:v>
                </c:pt>
              </c:numCache>
            </c:numRef>
          </c:cat>
          <c:val>
            <c:numRef>
              <c:f>базовая!$K$2:$K$20</c:f>
              <c:numCache>
                <c:formatCode>General</c:formatCode>
                <c:ptCount val="19"/>
                <c:pt idx="0">
                  <c:v>10.3441635425901</c:v>
                </c:pt>
                <c:pt idx="1">
                  <c:v>10.4017065457723</c:v>
                </c:pt>
                <c:pt idx="2">
                  <c:v>10.582870289813</c:v>
                </c:pt>
                <c:pt idx="3">
                  <c:v>10.7524633497888</c:v>
                </c:pt>
                <c:pt idx="4">
                  <c:v>10.9956953025208</c:v>
                </c:pt>
                <c:pt idx="5">
                  <c:v>11.4440406865501</c:v>
                </c:pt>
                <c:pt idx="6">
                  <c:v>12.2143870077675</c:v>
                </c:pt>
                <c:pt idx="7">
                  <c:v>13.200891267754</c:v>
                </c:pt>
                <c:pt idx="8">
                  <c:v>14.335194500312</c:v>
                </c:pt>
                <c:pt idx="9">
                  <c:v>15.3696709829129</c:v>
                </c:pt>
                <c:pt idx="10">
                  <c:v>16.0983178192178</c:v>
                </c:pt>
                <c:pt idx="11">
                  <c:v>16.6531044049618</c:v>
                </c:pt>
                <c:pt idx="12">
                  <c:v>17.060875532535</c:v>
                </c:pt>
                <c:pt idx="13">
                  <c:v>17.3775379472727</c:v>
                </c:pt>
                <c:pt idx="14">
                  <c:v>17.619373838813</c:v>
                </c:pt>
                <c:pt idx="15">
                  <c:v>17.8165637891966</c:v>
                </c:pt>
                <c:pt idx="16">
                  <c:v>18.2035752449407</c:v>
                </c:pt>
                <c:pt idx="17">
                  <c:v>18.5201005536575</c:v>
                </c:pt>
                <c:pt idx="18">
                  <c:v>18.7135137978894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7567120"/>
        <c:axId val="715841737"/>
      </c:lineChart>
      <c:catAx>
        <c:axId val="23756712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Срок до середины интервала, лет</a:t>
                </a:r>
              </a:p>
            </c:rich>
          </c:tx>
          <c:layout>
            <c:manualLayout>
              <c:xMode val="edge"/>
              <c:yMode val="edge"/>
              <c:x val="0.397160934900223"/>
              <c:y val="0.9135424747918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5841737"/>
        <c:crosses val="autoZero"/>
        <c:auto val="1"/>
        <c:lblAlgn val="ctr"/>
        <c:lblOffset val="100"/>
        <c:noMultiLvlLbl val="0"/>
      </c:catAx>
      <c:valAx>
        <c:axId val="715841737"/>
        <c:scaling>
          <c:orientation val="minMax"/>
          <c:max val="21"/>
          <c:min val="7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Ставка, % годовых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756712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8517405523262"/>
          <c:y val="0.94965932575981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174579c-65bc-4470-90c7-f7be44df448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Базовая кривая </a:t>
            </a:r>
            <a:r>
              <a:rPr lang="en-US" altLang="ru-RU"/>
              <a:t>vs </a:t>
            </a:r>
            <a:r>
              <a:rPr altLang="en-US"/>
              <a:t>Уменьшение наклона</a:t>
            </a:r>
            <a:endParaRPr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538058799838905"/>
          <c:y val="0.0774460537984038"/>
          <c:w val="0.930621559940932"/>
          <c:h val="0.789575327618485"/>
        </c:manualLayout>
      </c:layout>
      <c:lineChart>
        <c:grouping val="standard"/>
        <c:varyColors val="0"/>
        <c:ser>
          <c:idx val="1"/>
          <c:order val="0"/>
          <c:tx>
            <c:strRef>
              <c:f>базовая!$G$1</c:f>
              <c:strCache>
                <c:ptCount val="1"/>
                <c:pt idx="0">
                  <c:v>БС,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базовая!$B$2:$B$20</c:f>
              <c:numCache>
                <c:formatCode>General</c:formatCode>
                <c:ptCount val="19"/>
                <c:pt idx="0" c:formatCode="General">
                  <c:v>0.0028</c:v>
                </c:pt>
                <c:pt idx="1" c:formatCode="General">
                  <c:v>0.0417</c:v>
                </c:pt>
                <c:pt idx="2" c:formatCode="General">
                  <c:v>0.1667</c:v>
                </c:pt>
                <c:pt idx="3" c:formatCode="General">
                  <c:v>0.375</c:v>
                </c:pt>
                <c:pt idx="4" c:formatCode="General">
                  <c:v>0.625</c:v>
                </c:pt>
                <c:pt idx="5" c:formatCode="General">
                  <c:v>0.875</c:v>
                </c:pt>
                <c:pt idx="6" c:formatCode="General">
                  <c:v>1.25</c:v>
                </c:pt>
                <c:pt idx="7" c:formatCode="General">
                  <c:v>1.75</c:v>
                </c:pt>
                <c:pt idx="8" c:formatCode="General">
                  <c:v>2.5</c:v>
                </c:pt>
                <c:pt idx="9" c:formatCode="General">
                  <c:v>3.5</c:v>
                </c:pt>
                <c:pt idx="10" c:formatCode="General">
                  <c:v>4.5</c:v>
                </c:pt>
                <c:pt idx="11" c:formatCode="General">
                  <c:v>5.5</c:v>
                </c:pt>
                <c:pt idx="12" c:formatCode="General">
                  <c:v>6.5</c:v>
                </c:pt>
                <c:pt idx="13" c:formatCode="General">
                  <c:v>7.5</c:v>
                </c:pt>
                <c:pt idx="14" c:formatCode="General">
                  <c:v>8.5</c:v>
                </c:pt>
                <c:pt idx="15" c:formatCode="General">
                  <c:v>9.5</c:v>
                </c:pt>
                <c:pt idx="16" c:formatCode="General">
                  <c:v>12.5</c:v>
                </c:pt>
                <c:pt idx="17" c:formatCode="General">
                  <c:v>17.5</c:v>
                </c:pt>
                <c:pt idx="18" c:formatCode="General">
                  <c:v>25</c:v>
                </c:pt>
              </c:numCache>
            </c:numRef>
          </c:cat>
          <c:val>
            <c:numRef>
              <c:f>базовая!$G$2:$G$24</c:f>
              <c:numCache>
                <c:formatCode>General</c:formatCode>
                <c:ptCount val="23"/>
                <c:pt idx="0">
                  <c:v>13.59</c:v>
                </c:pt>
                <c:pt idx="1">
                  <c:v>13.59</c:v>
                </c:pt>
                <c:pt idx="2">
                  <c:v>13.59</c:v>
                </c:pt>
                <c:pt idx="3">
                  <c:v>13.47</c:v>
                </c:pt>
                <c:pt idx="4">
                  <c:v>13.385</c:v>
                </c:pt>
                <c:pt idx="5">
                  <c:v>13.525</c:v>
                </c:pt>
                <c:pt idx="6">
                  <c:v>13.8675</c:v>
                </c:pt>
                <c:pt idx="7">
                  <c:v>14.3425</c:v>
                </c:pt>
                <c:pt idx="8">
                  <c:v>14.82</c:v>
                </c:pt>
                <c:pt idx="9">
                  <c:v>15.15</c:v>
                </c:pt>
                <c:pt idx="10">
                  <c:v>15.33</c:v>
                </c:pt>
                <c:pt idx="11">
                  <c:v>15.4575</c:v>
                </c:pt>
                <c:pt idx="12">
                  <c:v>15.5325</c:v>
                </c:pt>
                <c:pt idx="13">
                  <c:v>15.59</c:v>
                </c:pt>
                <c:pt idx="14">
                  <c:v>15.63</c:v>
                </c:pt>
                <c:pt idx="15">
                  <c:v>15.67</c:v>
                </c:pt>
                <c:pt idx="16">
                  <c:v>15.765</c:v>
                </c:pt>
                <c:pt idx="17">
                  <c:v>15.895</c:v>
                </c:pt>
                <c:pt idx="18">
                  <c:v>16.025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базовая!$L$1</c:f>
              <c:strCache>
                <c:ptCount val="1"/>
                <c:pt idx="0">
                  <c:v>Уменьшение наклона,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базовая!$B$2:$B$20</c:f>
              <c:numCache>
                <c:formatCode>General</c:formatCode>
                <c:ptCount val="19"/>
                <c:pt idx="0" c:formatCode="General">
                  <c:v>0.0028</c:v>
                </c:pt>
                <c:pt idx="1" c:formatCode="General">
                  <c:v>0.0417</c:v>
                </c:pt>
                <c:pt idx="2" c:formatCode="General">
                  <c:v>0.1667</c:v>
                </c:pt>
                <c:pt idx="3" c:formatCode="General">
                  <c:v>0.375</c:v>
                </c:pt>
                <c:pt idx="4" c:formatCode="General">
                  <c:v>0.625</c:v>
                </c:pt>
                <c:pt idx="5" c:formatCode="General">
                  <c:v>0.875</c:v>
                </c:pt>
                <c:pt idx="6" c:formatCode="General">
                  <c:v>1.25</c:v>
                </c:pt>
                <c:pt idx="7" c:formatCode="General">
                  <c:v>1.75</c:v>
                </c:pt>
                <c:pt idx="8" c:formatCode="General">
                  <c:v>2.5</c:v>
                </c:pt>
                <c:pt idx="9" c:formatCode="General">
                  <c:v>3.5</c:v>
                </c:pt>
                <c:pt idx="10" c:formatCode="General">
                  <c:v>4.5</c:v>
                </c:pt>
                <c:pt idx="11" c:formatCode="General">
                  <c:v>5.5</c:v>
                </c:pt>
                <c:pt idx="12" c:formatCode="General">
                  <c:v>6.5</c:v>
                </c:pt>
                <c:pt idx="13" c:formatCode="General">
                  <c:v>7.5</c:v>
                </c:pt>
                <c:pt idx="14" c:formatCode="General">
                  <c:v>8.5</c:v>
                </c:pt>
                <c:pt idx="15" c:formatCode="General">
                  <c:v>9.5</c:v>
                </c:pt>
                <c:pt idx="16" c:formatCode="General">
                  <c:v>12.5</c:v>
                </c:pt>
                <c:pt idx="17" c:formatCode="General">
                  <c:v>17.5</c:v>
                </c:pt>
                <c:pt idx="18" c:formatCode="General">
                  <c:v>25</c:v>
                </c:pt>
              </c:numCache>
            </c:numRef>
          </c:cat>
          <c:val>
            <c:numRef>
              <c:f>базовая!$L$2:$L$20</c:f>
              <c:numCache>
                <c:formatCode>General</c:formatCode>
                <c:ptCount val="19"/>
                <c:pt idx="0">
                  <c:v>17.5859414206685</c:v>
                </c:pt>
                <c:pt idx="1">
                  <c:v>17.529849081432</c:v>
                </c:pt>
                <c:pt idx="2">
                  <c:v>17.3532524906024</c:v>
                </c:pt>
                <c:pt idx="3">
                  <c:v>16.9509600960042</c:v>
                </c:pt>
                <c:pt idx="4">
                  <c:v>16.5460028983831</c:v>
                </c:pt>
                <c:pt idx="5">
                  <c:v>16.3854309273966</c:v>
                </c:pt>
                <c:pt idx="6">
                  <c:v>16.3108706478905</c:v>
                </c:pt>
                <c:pt idx="7">
                  <c:v>16.2872614532818</c:v>
                </c:pt>
                <c:pt idx="8">
                  <c:v>16.1245162854101</c:v>
                </c:pt>
                <c:pt idx="9">
                  <c:v>15.7677997141353</c:v>
                </c:pt>
                <c:pt idx="10">
                  <c:v>15.4129843106784</c:v>
                </c:pt>
                <c:pt idx="11">
                  <c:v>15.1239696556675</c:v>
                </c:pt>
                <c:pt idx="12">
                  <c:v>14.8745877161843</c:v>
                </c:pt>
                <c:pt idx="13">
                  <c:v>14.6794588077006</c:v>
                </c:pt>
                <c:pt idx="14">
                  <c:v>14.522711215947</c:v>
                </c:pt>
                <c:pt idx="15">
                  <c:v>14.4094840374218</c:v>
                </c:pt>
                <c:pt idx="16">
                  <c:v>14.2198342150158</c:v>
                </c:pt>
                <c:pt idx="17">
                  <c:v>14.1680112250061</c:v>
                </c:pt>
                <c:pt idx="18">
                  <c:v>14.2361966339901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7567120"/>
        <c:axId val="715841737"/>
      </c:lineChart>
      <c:catAx>
        <c:axId val="23756712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Срок до середины интервала, лет</a:t>
                </a:r>
              </a:p>
            </c:rich>
          </c:tx>
          <c:layout>
            <c:manualLayout>
              <c:xMode val="edge"/>
              <c:yMode val="edge"/>
              <c:x val="0.397160934900223"/>
              <c:y val="0.9135424747918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5841737"/>
        <c:crosses val="autoZero"/>
        <c:auto val="1"/>
        <c:lblAlgn val="ctr"/>
        <c:lblOffset val="100"/>
        <c:noMultiLvlLbl val="0"/>
      </c:catAx>
      <c:valAx>
        <c:axId val="715841737"/>
        <c:scaling>
          <c:orientation val="minMax"/>
          <c:max val="21"/>
          <c:min val="7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Ставка, % годовых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756712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8517405523262"/>
          <c:y val="0.94965932575981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174579c-65bc-4470-90c7-f7be44df448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Базовая кривая </a:t>
            </a:r>
            <a:r>
              <a:rPr lang="en-US" altLang="ru-RU"/>
              <a:t>vs </a:t>
            </a:r>
            <a:r>
              <a:rPr altLang="en-US"/>
              <a:t>Рост коротких</a:t>
            </a:r>
            <a:endParaRPr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538058799838905"/>
          <c:y val="0.0774460537984038"/>
          <c:w val="0.930621559940932"/>
          <c:h val="0.789575327618485"/>
        </c:manualLayout>
      </c:layout>
      <c:lineChart>
        <c:grouping val="standard"/>
        <c:varyColors val="0"/>
        <c:ser>
          <c:idx val="1"/>
          <c:order val="0"/>
          <c:tx>
            <c:strRef>
              <c:f>базовая!$G$1</c:f>
              <c:strCache>
                <c:ptCount val="1"/>
                <c:pt idx="0">
                  <c:v>БС,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базовая!$B$2:$B$20</c:f>
              <c:numCache>
                <c:formatCode>General</c:formatCode>
                <c:ptCount val="19"/>
                <c:pt idx="0" c:formatCode="General">
                  <c:v>0.0028</c:v>
                </c:pt>
                <c:pt idx="1" c:formatCode="General">
                  <c:v>0.0417</c:v>
                </c:pt>
                <c:pt idx="2" c:formatCode="General">
                  <c:v>0.1667</c:v>
                </c:pt>
                <c:pt idx="3" c:formatCode="General">
                  <c:v>0.375</c:v>
                </c:pt>
                <c:pt idx="4" c:formatCode="General">
                  <c:v>0.625</c:v>
                </c:pt>
                <c:pt idx="5" c:formatCode="General">
                  <c:v>0.875</c:v>
                </c:pt>
                <c:pt idx="6" c:formatCode="General">
                  <c:v>1.25</c:v>
                </c:pt>
                <c:pt idx="7" c:formatCode="General">
                  <c:v>1.75</c:v>
                </c:pt>
                <c:pt idx="8" c:formatCode="General">
                  <c:v>2.5</c:v>
                </c:pt>
                <c:pt idx="9" c:formatCode="General">
                  <c:v>3.5</c:v>
                </c:pt>
                <c:pt idx="10" c:formatCode="General">
                  <c:v>4.5</c:v>
                </c:pt>
                <c:pt idx="11" c:formatCode="General">
                  <c:v>5.5</c:v>
                </c:pt>
                <c:pt idx="12" c:formatCode="General">
                  <c:v>6.5</c:v>
                </c:pt>
                <c:pt idx="13" c:formatCode="General">
                  <c:v>7.5</c:v>
                </c:pt>
                <c:pt idx="14" c:formatCode="General">
                  <c:v>8.5</c:v>
                </c:pt>
                <c:pt idx="15" c:formatCode="General">
                  <c:v>9.5</c:v>
                </c:pt>
                <c:pt idx="16" c:formatCode="General">
                  <c:v>12.5</c:v>
                </c:pt>
                <c:pt idx="17" c:formatCode="General">
                  <c:v>17.5</c:v>
                </c:pt>
                <c:pt idx="18" c:formatCode="General">
                  <c:v>25</c:v>
                </c:pt>
              </c:numCache>
            </c:numRef>
          </c:cat>
          <c:val>
            <c:numRef>
              <c:f>базовая!$G$2:$G$24</c:f>
              <c:numCache>
                <c:formatCode>General</c:formatCode>
                <c:ptCount val="23"/>
                <c:pt idx="0">
                  <c:v>13.59</c:v>
                </c:pt>
                <c:pt idx="1">
                  <c:v>13.59</c:v>
                </c:pt>
                <c:pt idx="2">
                  <c:v>13.59</c:v>
                </c:pt>
                <c:pt idx="3">
                  <c:v>13.47</c:v>
                </c:pt>
                <c:pt idx="4">
                  <c:v>13.385</c:v>
                </c:pt>
                <c:pt idx="5">
                  <c:v>13.525</c:v>
                </c:pt>
                <c:pt idx="6">
                  <c:v>13.8675</c:v>
                </c:pt>
                <c:pt idx="7">
                  <c:v>14.3425</c:v>
                </c:pt>
                <c:pt idx="8">
                  <c:v>14.82</c:v>
                </c:pt>
                <c:pt idx="9">
                  <c:v>15.15</c:v>
                </c:pt>
                <c:pt idx="10">
                  <c:v>15.33</c:v>
                </c:pt>
                <c:pt idx="11">
                  <c:v>15.4575</c:v>
                </c:pt>
                <c:pt idx="12">
                  <c:v>15.5325</c:v>
                </c:pt>
                <c:pt idx="13">
                  <c:v>15.59</c:v>
                </c:pt>
                <c:pt idx="14">
                  <c:v>15.63</c:v>
                </c:pt>
                <c:pt idx="15">
                  <c:v>15.67</c:v>
                </c:pt>
                <c:pt idx="16">
                  <c:v>15.765</c:v>
                </c:pt>
                <c:pt idx="17">
                  <c:v>15.895</c:v>
                </c:pt>
                <c:pt idx="18">
                  <c:v>16.025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базовая!$M$1</c:f>
              <c:strCache>
                <c:ptCount val="1"/>
                <c:pt idx="0">
                  <c:v>Рост коротких,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базовая!$B$2:$B$20</c:f>
              <c:numCache>
                <c:formatCode>General</c:formatCode>
                <c:ptCount val="19"/>
                <c:pt idx="0" c:formatCode="General">
                  <c:v>0.0028</c:v>
                </c:pt>
                <c:pt idx="1" c:formatCode="General">
                  <c:v>0.0417</c:v>
                </c:pt>
                <c:pt idx="2" c:formatCode="General">
                  <c:v>0.1667</c:v>
                </c:pt>
                <c:pt idx="3" c:formatCode="General">
                  <c:v>0.375</c:v>
                </c:pt>
                <c:pt idx="4" c:formatCode="General">
                  <c:v>0.625</c:v>
                </c:pt>
                <c:pt idx="5" c:formatCode="General">
                  <c:v>0.875</c:v>
                </c:pt>
                <c:pt idx="6" c:formatCode="General">
                  <c:v>1.25</c:v>
                </c:pt>
                <c:pt idx="7" c:formatCode="General">
                  <c:v>1.75</c:v>
                </c:pt>
                <c:pt idx="8" c:formatCode="General">
                  <c:v>2.5</c:v>
                </c:pt>
                <c:pt idx="9" c:formatCode="General">
                  <c:v>3.5</c:v>
                </c:pt>
                <c:pt idx="10" c:formatCode="General">
                  <c:v>4.5</c:v>
                </c:pt>
                <c:pt idx="11" c:formatCode="General">
                  <c:v>5.5</c:v>
                </c:pt>
                <c:pt idx="12" c:formatCode="General">
                  <c:v>6.5</c:v>
                </c:pt>
                <c:pt idx="13" c:formatCode="General">
                  <c:v>7.5</c:v>
                </c:pt>
                <c:pt idx="14" c:formatCode="General">
                  <c:v>8.5</c:v>
                </c:pt>
                <c:pt idx="15" c:formatCode="General">
                  <c:v>9.5</c:v>
                </c:pt>
                <c:pt idx="16" c:formatCode="General">
                  <c:v>12.5</c:v>
                </c:pt>
                <c:pt idx="17" c:formatCode="General">
                  <c:v>17.5</c:v>
                </c:pt>
                <c:pt idx="18" c:formatCode="General">
                  <c:v>25</c:v>
                </c:pt>
              </c:numCache>
            </c:numRef>
          </c:cat>
          <c:val>
            <c:numRef>
              <c:f>базовая!$M$2:$M$20</c:f>
              <c:numCache>
                <c:formatCode>General</c:formatCode>
                <c:ptCount val="19"/>
                <c:pt idx="0">
                  <c:v>18.5865012247142</c:v>
                </c:pt>
                <c:pt idx="1">
                  <c:v>18.5381457598552</c:v>
                </c:pt>
                <c:pt idx="2">
                  <c:v>18.3859073194848</c:v>
                </c:pt>
                <c:pt idx="3">
                  <c:v>18.0225518069002</c:v>
                </c:pt>
                <c:pt idx="4">
                  <c:v>17.6617266365371</c:v>
                </c:pt>
                <c:pt idx="5">
                  <c:v>17.5426128684453</c:v>
                </c:pt>
                <c:pt idx="6">
                  <c:v>17.5255781447332</c:v>
                </c:pt>
                <c:pt idx="7">
                  <c:v>17.5707426321395</c:v>
                </c:pt>
                <c:pt idx="8">
                  <c:v>17.496307142595</c:v>
                </c:pt>
                <c:pt idx="9">
                  <c:v>17.2343100983925</c:v>
                </c:pt>
                <c:pt idx="10">
                  <c:v>16.9532623367917</c:v>
                </c:pt>
                <c:pt idx="11">
                  <c:v>16.7216979790237</c:v>
                </c:pt>
                <c:pt idx="12">
                  <c:v>16.517058376021</c:v>
                </c:pt>
                <c:pt idx="13">
                  <c:v>16.3567748342246</c:v>
                </c:pt>
                <c:pt idx="14">
                  <c:v>16.2271648413336</c:v>
                </c:pt>
                <c:pt idx="15">
                  <c:v>16.1350724460533</c:v>
                </c:pt>
                <c:pt idx="16">
                  <c:v>15.984684668117</c:v>
                </c:pt>
                <c:pt idx="17">
                  <c:v>15.9579407112122</c:v>
                </c:pt>
                <c:pt idx="18">
                  <c:v>16.0346522706811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7567120"/>
        <c:axId val="715841737"/>
      </c:lineChart>
      <c:catAx>
        <c:axId val="23756712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Срок до середины интервала, лет</a:t>
                </a:r>
              </a:p>
            </c:rich>
          </c:tx>
          <c:layout>
            <c:manualLayout>
              <c:xMode val="edge"/>
              <c:yMode val="edge"/>
              <c:x val="0.397160934900223"/>
              <c:y val="0.9135424747918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5841737"/>
        <c:crosses val="autoZero"/>
        <c:auto val="1"/>
        <c:lblAlgn val="ctr"/>
        <c:lblOffset val="100"/>
        <c:noMultiLvlLbl val="0"/>
      </c:catAx>
      <c:valAx>
        <c:axId val="715841737"/>
        <c:scaling>
          <c:orientation val="minMax"/>
          <c:max val="21"/>
          <c:min val="7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Ставка, % годовых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756712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8517405523262"/>
          <c:y val="0.94965932575981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174579c-65bc-4470-90c7-f7be44df448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Базовая кривая </a:t>
            </a:r>
            <a:r>
              <a:rPr lang="en-US" altLang="ru-RU"/>
              <a:t>vs </a:t>
            </a:r>
            <a:r>
              <a:rPr altLang="en-US"/>
              <a:t>Снижение коротких</a:t>
            </a:r>
            <a:endParaRPr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54947585826738"/>
          <c:y val="0.0790689654929145"/>
          <c:w val="0.930621559940932"/>
          <c:h val="0.789575327618485"/>
        </c:manualLayout>
      </c:layout>
      <c:lineChart>
        <c:grouping val="standard"/>
        <c:varyColors val="0"/>
        <c:ser>
          <c:idx val="1"/>
          <c:order val="0"/>
          <c:tx>
            <c:strRef>
              <c:f>базовая!$G$1</c:f>
              <c:strCache>
                <c:ptCount val="1"/>
                <c:pt idx="0">
                  <c:v>БС,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базовая!$B$2:$B$20</c:f>
              <c:numCache>
                <c:formatCode>General</c:formatCode>
                <c:ptCount val="19"/>
                <c:pt idx="0" c:formatCode="General">
                  <c:v>0.0028</c:v>
                </c:pt>
                <c:pt idx="1" c:formatCode="General">
                  <c:v>0.0417</c:v>
                </c:pt>
                <c:pt idx="2" c:formatCode="General">
                  <c:v>0.1667</c:v>
                </c:pt>
                <c:pt idx="3" c:formatCode="General">
                  <c:v>0.375</c:v>
                </c:pt>
                <c:pt idx="4" c:formatCode="General">
                  <c:v>0.625</c:v>
                </c:pt>
                <c:pt idx="5" c:formatCode="General">
                  <c:v>0.875</c:v>
                </c:pt>
                <c:pt idx="6" c:formatCode="General">
                  <c:v>1.25</c:v>
                </c:pt>
                <c:pt idx="7" c:formatCode="General">
                  <c:v>1.75</c:v>
                </c:pt>
                <c:pt idx="8" c:formatCode="General">
                  <c:v>2.5</c:v>
                </c:pt>
                <c:pt idx="9" c:formatCode="General">
                  <c:v>3.5</c:v>
                </c:pt>
                <c:pt idx="10" c:formatCode="General">
                  <c:v>4.5</c:v>
                </c:pt>
                <c:pt idx="11" c:formatCode="General">
                  <c:v>5.5</c:v>
                </c:pt>
                <c:pt idx="12" c:formatCode="General">
                  <c:v>6.5</c:v>
                </c:pt>
                <c:pt idx="13" c:formatCode="General">
                  <c:v>7.5</c:v>
                </c:pt>
                <c:pt idx="14" c:formatCode="General">
                  <c:v>8.5</c:v>
                </c:pt>
                <c:pt idx="15" c:formatCode="General">
                  <c:v>9.5</c:v>
                </c:pt>
                <c:pt idx="16" c:formatCode="General">
                  <c:v>12.5</c:v>
                </c:pt>
                <c:pt idx="17" c:formatCode="General">
                  <c:v>17.5</c:v>
                </c:pt>
                <c:pt idx="18" c:formatCode="General">
                  <c:v>25</c:v>
                </c:pt>
              </c:numCache>
            </c:numRef>
          </c:cat>
          <c:val>
            <c:numRef>
              <c:f>базовая!$G$2:$G$24</c:f>
              <c:numCache>
                <c:formatCode>General</c:formatCode>
                <c:ptCount val="23"/>
                <c:pt idx="0">
                  <c:v>13.59</c:v>
                </c:pt>
                <c:pt idx="1">
                  <c:v>13.59</c:v>
                </c:pt>
                <c:pt idx="2">
                  <c:v>13.59</c:v>
                </c:pt>
                <c:pt idx="3">
                  <c:v>13.47</c:v>
                </c:pt>
                <c:pt idx="4">
                  <c:v>13.385</c:v>
                </c:pt>
                <c:pt idx="5">
                  <c:v>13.525</c:v>
                </c:pt>
                <c:pt idx="6">
                  <c:v>13.8675</c:v>
                </c:pt>
                <c:pt idx="7">
                  <c:v>14.3425</c:v>
                </c:pt>
                <c:pt idx="8">
                  <c:v>14.82</c:v>
                </c:pt>
                <c:pt idx="9">
                  <c:v>15.15</c:v>
                </c:pt>
                <c:pt idx="10">
                  <c:v>15.33</c:v>
                </c:pt>
                <c:pt idx="11">
                  <c:v>15.4575</c:v>
                </c:pt>
                <c:pt idx="12">
                  <c:v>15.5325</c:v>
                </c:pt>
                <c:pt idx="13">
                  <c:v>15.59</c:v>
                </c:pt>
                <c:pt idx="14">
                  <c:v>15.63</c:v>
                </c:pt>
                <c:pt idx="15">
                  <c:v>15.67</c:v>
                </c:pt>
                <c:pt idx="16">
                  <c:v>15.765</c:v>
                </c:pt>
                <c:pt idx="17">
                  <c:v>15.895</c:v>
                </c:pt>
                <c:pt idx="18">
                  <c:v>16.025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базовая!$N$1</c:f>
              <c:strCache>
                <c:ptCount val="1"/>
                <c:pt idx="0">
                  <c:v>Снижение коротких,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базовая!$B$2:$B$20</c:f>
              <c:numCache>
                <c:formatCode>General</c:formatCode>
                <c:ptCount val="19"/>
                <c:pt idx="0" c:formatCode="General">
                  <c:v>0.0028</c:v>
                </c:pt>
                <c:pt idx="1" c:formatCode="General">
                  <c:v>0.0417</c:v>
                </c:pt>
                <c:pt idx="2" c:formatCode="General">
                  <c:v>0.1667</c:v>
                </c:pt>
                <c:pt idx="3" c:formatCode="General">
                  <c:v>0.375</c:v>
                </c:pt>
                <c:pt idx="4" c:formatCode="General">
                  <c:v>0.625</c:v>
                </c:pt>
                <c:pt idx="5" c:formatCode="General">
                  <c:v>0.875</c:v>
                </c:pt>
                <c:pt idx="6" c:formatCode="General">
                  <c:v>1.25</c:v>
                </c:pt>
                <c:pt idx="7" c:formatCode="General">
                  <c:v>1.75</c:v>
                </c:pt>
                <c:pt idx="8" c:formatCode="General">
                  <c:v>2.5</c:v>
                </c:pt>
                <c:pt idx="9" c:formatCode="General">
                  <c:v>3.5</c:v>
                </c:pt>
                <c:pt idx="10" c:formatCode="General">
                  <c:v>4.5</c:v>
                </c:pt>
                <c:pt idx="11" c:formatCode="General">
                  <c:v>5.5</c:v>
                </c:pt>
                <c:pt idx="12" c:formatCode="General">
                  <c:v>6.5</c:v>
                </c:pt>
                <c:pt idx="13" c:formatCode="General">
                  <c:v>7.5</c:v>
                </c:pt>
                <c:pt idx="14" c:formatCode="General">
                  <c:v>8.5</c:v>
                </c:pt>
                <c:pt idx="15" c:formatCode="General">
                  <c:v>9.5</c:v>
                </c:pt>
                <c:pt idx="16" c:formatCode="General">
                  <c:v>12.5</c:v>
                </c:pt>
                <c:pt idx="17" c:formatCode="General">
                  <c:v>17.5</c:v>
                </c:pt>
                <c:pt idx="18" c:formatCode="General">
                  <c:v>25</c:v>
                </c:pt>
              </c:numCache>
            </c:numRef>
          </c:cat>
          <c:val>
            <c:numRef>
              <c:f>базовая!$N$2:$N$20</c:f>
              <c:numCache>
                <c:formatCode>General</c:formatCode>
                <c:ptCount val="19"/>
                <c:pt idx="0">
                  <c:v>8.59349877528578</c:v>
                </c:pt>
                <c:pt idx="1">
                  <c:v>8.64185424014483</c:v>
                </c:pt>
                <c:pt idx="2">
                  <c:v>8.79409268051516</c:v>
                </c:pt>
                <c:pt idx="3">
                  <c:v>8.91744819309983</c:v>
                </c:pt>
                <c:pt idx="4">
                  <c:v>9.10827336346289</c:v>
                </c:pt>
                <c:pt idx="5">
                  <c:v>9.5073871315547</c:v>
                </c:pt>
                <c:pt idx="6">
                  <c:v>10.2094218552668</c:v>
                </c:pt>
                <c:pt idx="7">
                  <c:v>11.1142573678605</c:v>
                </c:pt>
                <c:pt idx="8">
                  <c:v>12.143692857405</c:v>
                </c:pt>
                <c:pt idx="9">
                  <c:v>13.0656899016075</c:v>
                </c:pt>
                <c:pt idx="10">
                  <c:v>13.7067376632083</c:v>
                </c:pt>
                <c:pt idx="11">
                  <c:v>14.1933020209763</c:v>
                </c:pt>
                <c:pt idx="12">
                  <c:v>14.547941623979</c:v>
                </c:pt>
                <c:pt idx="13">
                  <c:v>14.8232251657754</c:v>
                </c:pt>
                <c:pt idx="14">
                  <c:v>15.0328351586664</c:v>
                </c:pt>
                <c:pt idx="15">
                  <c:v>15.2049275539467</c:v>
                </c:pt>
                <c:pt idx="16">
                  <c:v>15.545315331883</c:v>
                </c:pt>
                <c:pt idx="17">
                  <c:v>15.8320592887878</c:v>
                </c:pt>
                <c:pt idx="18">
                  <c:v>16.0153477293189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7567120"/>
        <c:axId val="715841737"/>
      </c:lineChart>
      <c:catAx>
        <c:axId val="23756712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Срок до середины интервала, лет</a:t>
                </a:r>
              </a:p>
            </c:rich>
          </c:tx>
          <c:layout>
            <c:manualLayout>
              <c:xMode val="edge"/>
              <c:yMode val="edge"/>
              <c:x val="0.397160934900223"/>
              <c:y val="0.9135424747918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5841737"/>
        <c:crosses val="autoZero"/>
        <c:auto val="1"/>
        <c:lblAlgn val="ctr"/>
        <c:lblOffset val="100"/>
        <c:noMultiLvlLbl val="0"/>
      </c:catAx>
      <c:valAx>
        <c:axId val="715841737"/>
        <c:scaling>
          <c:orientation val="minMax"/>
          <c:max val="21"/>
          <c:min val="7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Ставка, % годовых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756712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8517405523262"/>
          <c:y val="0.94965932575981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174579c-65bc-4470-90c7-f7be44df448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Базовая кривая </a:t>
            </a:r>
            <a:r>
              <a:rPr lang="en-US" altLang="ru-RU"/>
              <a:t>vs </a:t>
            </a:r>
            <a:r>
              <a:rPr altLang="en-US"/>
              <a:t>6 сдвигов</a:t>
            </a:r>
            <a:endParaRPr altLang="en-US"/>
          </a:p>
        </c:rich>
      </c:tx>
      <c:layout>
        <c:manualLayout>
          <c:xMode val="edge"/>
          <c:yMode val="edge"/>
          <c:x val="0.405440850090793"/>
          <c:y val="0.011494252873563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базовая!$I$1</c:f>
              <c:strCache>
                <c:ptCount val="1"/>
                <c:pt idx="0">
                  <c:v>Сдвиг вверх, %</c:v>
                </c:pt>
              </c:strCache>
            </c:strRef>
          </c:tx>
          <c:spPr>
            <a:ln w="25400" cap="rnd">
              <a:solidFill>
                <a:schemeClr val="accent3">
                  <a:alpha val="80000"/>
                </a:schemeClr>
              </a:solidFill>
              <a:round/>
            </a:ln>
            <a:effectLst/>
            <a:sp3d contourW="25400"/>
          </c:spPr>
          <c:marker>
            <c:symbol val="none"/>
          </c:marker>
          <c:dLbls>
            <c:delete val="1"/>
          </c:dLbls>
          <c:cat>
            <c:numRef>
              <c:f>базовая!$B$2:$B$20</c:f>
              <c:numCache>
                <c:formatCode>General</c:formatCode>
                <c:ptCount val="19"/>
                <c:pt idx="0" c:formatCode="General">
                  <c:v>0.0028</c:v>
                </c:pt>
                <c:pt idx="1" c:formatCode="General">
                  <c:v>0.0417</c:v>
                </c:pt>
                <c:pt idx="2" c:formatCode="General">
                  <c:v>0.1667</c:v>
                </c:pt>
                <c:pt idx="3" c:formatCode="General">
                  <c:v>0.375</c:v>
                </c:pt>
                <c:pt idx="4" c:formatCode="General">
                  <c:v>0.625</c:v>
                </c:pt>
                <c:pt idx="5" c:formatCode="General">
                  <c:v>0.875</c:v>
                </c:pt>
                <c:pt idx="6" c:formatCode="General">
                  <c:v>1.25</c:v>
                </c:pt>
                <c:pt idx="7" c:formatCode="General">
                  <c:v>1.75</c:v>
                </c:pt>
                <c:pt idx="8" c:formatCode="General">
                  <c:v>2.5</c:v>
                </c:pt>
                <c:pt idx="9" c:formatCode="General">
                  <c:v>3.5</c:v>
                </c:pt>
                <c:pt idx="10" c:formatCode="General">
                  <c:v>4.5</c:v>
                </c:pt>
                <c:pt idx="11" c:formatCode="General">
                  <c:v>5.5</c:v>
                </c:pt>
                <c:pt idx="12" c:formatCode="General">
                  <c:v>6.5</c:v>
                </c:pt>
                <c:pt idx="13" c:formatCode="General">
                  <c:v>7.5</c:v>
                </c:pt>
                <c:pt idx="14" c:formatCode="General">
                  <c:v>8.5</c:v>
                </c:pt>
                <c:pt idx="15" c:formatCode="General">
                  <c:v>9.5</c:v>
                </c:pt>
                <c:pt idx="16" c:formatCode="General">
                  <c:v>12.5</c:v>
                </c:pt>
                <c:pt idx="17" c:formatCode="General">
                  <c:v>17.5</c:v>
                </c:pt>
                <c:pt idx="18" c:formatCode="General">
                  <c:v>25</c:v>
                </c:pt>
              </c:numCache>
            </c:numRef>
          </c:cat>
          <c:val>
            <c:numRef>
              <c:f>базовая!$I$2:$I$20</c:f>
              <c:numCache>
                <c:formatCode>General</c:formatCode>
                <c:ptCount val="19"/>
                <c:pt idx="0">
                  <c:v>17.59</c:v>
                </c:pt>
                <c:pt idx="1">
                  <c:v>17.59</c:v>
                </c:pt>
                <c:pt idx="2">
                  <c:v>17.59</c:v>
                </c:pt>
                <c:pt idx="3">
                  <c:v>17.47</c:v>
                </c:pt>
                <c:pt idx="4">
                  <c:v>17.385</c:v>
                </c:pt>
                <c:pt idx="5">
                  <c:v>17.525</c:v>
                </c:pt>
                <c:pt idx="6">
                  <c:v>17.8675</c:v>
                </c:pt>
                <c:pt idx="7">
                  <c:v>18.3425</c:v>
                </c:pt>
                <c:pt idx="8">
                  <c:v>18.82</c:v>
                </c:pt>
                <c:pt idx="9">
                  <c:v>19.15</c:v>
                </c:pt>
                <c:pt idx="10">
                  <c:v>19.33</c:v>
                </c:pt>
                <c:pt idx="11">
                  <c:v>19.4575</c:v>
                </c:pt>
                <c:pt idx="12">
                  <c:v>19.5325</c:v>
                </c:pt>
                <c:pt idx="13">
                  <c:v>19.59</c:v>
                </c:pt>
                <c:pt idx="14">
                  <c:v>19.63</c:v>
                </c:pt>
                <c:pt idx="15">
                  <c:v>19.67</c:v>
                </c:pt>
                <c:pt idx="16">
                  <c:v>19.765</c:v>
                </c:pt>
                <c:pt idx="17">
                  <c:v>19.895</c:v>
                </c:pt>
                <c:pt idx="18">
                  <c:v>20.025</c:v>
                </c:pt>
              </c:numCache>
            </c:numRef>
          </c:val>
          <c:smooth val="0"/>
        </c:ser>
        <c:ser>
          <c:idx val="3"/>
          <c:order val="1"/>
          <c:tx>
            <c:strRef>
              <c:f>базовая!$J$1</c:f>
              <c:strCache>
                <c:ptCount val="1"/>
                <c:pt idx="0">
                  <c:v>Сдвиг вниз %</c:v>
                </c:pt>
              </c:strCache>
            </c:strRef>
          </c:tx>
          <c:spPr>
            <a:ln w="25400" cap="rnd">
              <a:solidFill>
                <a:schemeClr val="accent4"/>
              </a:solidFill>
              <a:round/>
            </a:ln>
            <a:effectLst/>
            <a:sp3d contourW="25400"/>
          </c:spPr>
          <c:marker>
            <c:symbol val="none"/>
          </c:marker>
          <c:dPt>
            <c:idx val="9"/>
            <c:marker>
              <c:symbol val="none"/>
            </c:marker>
            <c:bubble3D val="0"/>
            <c:spPr>
              <a:ln w="25400" cap="rnd">
                <a:solidFill>
                  <a:schemeClr val="accent4">
                    <a:alpha val="80000"/>
                  </a:schemeClr>
                </a:solidFill>
                <a:round/>
              </a:ln>
              <a:effectLst/>
              <a:sp3d contourW="25400"/>
            </c:spPr>
          </c:dPt>
          <c:dLbls>
            <c:delete val="1"/>
          </c:dLbls>
          <c:cat>
            <c:numRef>
              <c:f>базовая!$B$2:$B$20</c:f>
              <c:numCache>
                <c:formatCode>General</c:formatCode>
                <c:ptCount val="19"/>
                <c:pt idx="0" c:formatCode="General">
                  <c:v>0.0028</c:v>
                </c:pt>
                <c:pt idx="1" c:formatCode="General">
                  <c:v>0.0417</c:v>
                </c:pt>
                <c:pt idx="2" c:formatCode="General">
                  <c:v>0.1667</c:v>
                </c:pt>
                <c:pt idx="3" c:formatCode="General">
                  <c:v>0.375</c:v>
                </c:pt>
                <c:pt idx="4" c:formatCode="General">
                  <c:v>0.625</c:v>
                </c:pt>
                <c:pt idx="5" c:formatCode="General">
                  <c:v>0.875</c:v>
                </c:pt>
                <c:pt idx="6" c:formatCode="General">
                  <c:v>1.25</c:v>
                </c:pt>
                <c:pt idx="7" c:formatCode="General">
                  <c:v>1.75</c:v>
                </c:pt>
                <c:pt idx="8" c:formatCode="General">
                  <c:v>2.5</c:v>
                </c:pt>
                <c:pt idx="9" c:formatCode="General">
                  <c:v>3.5</c:v>
                </c:pt>
                <c:pt idx="10" c:formatCode="General">
                  <c:v>4.5</c:v>
                </c:pt>
                <c:pt idx="11" c:formatCode="General">
                  <c:v>5.5</c:v>
                </c:pt>
                <c:pt idx="12" c:formatCode="General">
                  <c:v>6.5</c:v>
                </c:pt>
                <c:pt idx="13" c:formatCode="General">
                  <c:v>7.5</c:v>
                </c:pt>
                <c:pt idx="14" c:formatCode="General">
                  <c:v>8.5</c:v>
                </c:pt>
                <c:pt idx="15" c:formatCode="General">
                  <c:v>9.5</c:v>
                </c:pt>
                <c:pt idx="16" c:formatCode="General">
                  <c:v>12.5</c:v>
                </c:pt>
                <c:pt idx="17" c:formatCode="General">
                  <c:v>17.5</c:v>
                </c:pt>
                <c:pt idx="18" c:formatCode="General">
                  <c:v>25</c:v>
                </c:pt>
              </c:numCache>
            </c:numRef>
          </c:cat>
          <c:val>
            <c:numRef>
              <c:f>базовая!$J$2:$J$20</c:f>
              <c:numCache>
                <c:formatCode>General</c:formatCode>
                <c:ptCount val="19"/>
                <c:pt idx="0">
                  <c:v>9.59</c:v>
                </c:pt>
                <c:pt idx="1">
                  <c:v>9.59</c:v>
                </c:pt>
                <c:pt idx="2">
                  <c:v>9.59</c:v>
                </c:pt>
                <c:pt idx="3">
                  <c:v>9.47</c:v>
                </c:pt>
                <c:pt idx="4">
                  <c:v>9.385</c:v>
                </c:pt>
                <c:pt idx="5">
                  <c:v>9.525</c:v>
                </c:pt>
                <c:pt idx="6">
                  <c:v>9.8675</c:v>
                </c:pt>
                <c:pt idx="7">
                  <c:v>10.3425</c:v>
                </c:pt>
                <c:pt idx="8">
                  <c:v>10.82</c:v>
                </c:pt>
                <c:pt idx="9">
                  <c:v>11.15</c:v>
                </c:pt>
                <c:pt idx="10">
                  <c:v>11.33</c:v>
                </c:pt>
                <c:pt idx="11">
                  <c:v>11.4575</c:v>
                </c:pt>
                <c:pt idx="12">
                  <c:v>11.5325</c:v>
                </c:pt>
                <c:pt idx="13">
                  <c:v>11.59</c:v>
                </c:pt>
                <c:pt idx="14">
                  <c:v>11.63</c:v>
                </c:pt>
                <c:pt idx="15">
                  <c:v>11.67</c:v>
                </c:pt>
                <c:pt idx="16">
                  <c:v>11.765</c:v>
                </c:pt>
                <c:pt idx="17">
                  <c:v>11.895</c:v>
                </c:pt>
                <c:pt idx="18">
                  <c:v>12.025</c:v>
                </c:pt>
              </c:numCache>
            </c:numRef>
          </c:val>
          <c:smooth val="0"/>
        </c:ser>
        <c:ser>
          <c:idx val="4"/>
          <c:order val="2"/>
          <c:tx>
            <c:strRef>
              <c:f>базовая!$K$1</c:f>
              <c:strCache>
                <c:ptCount val="1"/>
                <c:pt idx="0">
                  <c:v>Увеличение наклона, %</c:v>
                </c:pt>
              </c:strCache>
            </c:strRef>
          </c:tx>
          <c:spPr>
            <a:ln w="25400" cap="rnd">
              <a:solidFill>
                <a:schemeClr val="accent5">
                  <a:alpha val="80000"/>
                </a:schemeClr>
              </a:solidFill>
              <a:round/>
            </a:ln>
            <a:effectLst/>
            <a:sp3d contourW="25400"/>
          </c:spPr>
          <c:marker>
            <c:symbol val="none"/>
          </c:marker>
          <c:dLbls>
            <c:delete val="1"/>
          </c:dLbls>
          <c:cat>
            <c:numRef>
              <c:f>базовая!$B$2:$B$20</c:f>
              <c:numCache>
                <c:formatCode>General</c:formatCode>
                <c:ptCount val="19"/>
                <c:pt idx="0" c:formatCode="General">
                  <c:v>0.0028</c:v>
                </c:pt>
                <c:pt idx="1" c:formatCode="General">
                  <c:v>0.0417</c:v>
                </c:pt>
                <c:pt idx="2" c:formatCode="General">
                  <c:v>0.1667</c:v>
                </c:pt>
                <c:pt idx="3" c:formatCode="General">
                  <c:v>0.375</c:v>
                </c:pt>
                <c:pt idx="4" c:formatCode="General">
                  <c:v>0.625</c:v>
                </c:pt>
                <c:pt idx="5" c:formatCode="General">
                  <c:v>0.875</c:v>
                </c:pt>
                <c:pt idx="6" c:formatCode="General">
                  <c:v>1.25</c:v>
                </c:pt>
                <c:pt idx="7" c:formatCode="General">
                  <c:v>1.75</c:v>
                </c:pt>
                <c:pt idx="8" c:formatCode="General">
                  <c:v>2.5</c:v>
                </c:pt>
                <c:pt idx="9" c:formatCode="General">
                  <c:v>3.5</c:v>
                </c:pt>
                <c:pt idx="10" c:formatCode="General">
                  <c:v>4.5</c:v>
                </c:pt>
                <c:pt idx="11" c:formatCode="General">
                  <c:v>5.5</c:v>
                </c:pt>
                <c:pt idx="12" c:formatCode="General">
                  <c:v>6.5</c:v>
                </c:pt>
                <c:pt idx="13" c:formatCode="General">
                  <c:v>7.5</c:v>
                </c:pt>
                <c:pt idx="14" c:formatCode="General">
                  <c:v>8.5</c:v>
                </c:pt>
                <c:pt idx="15" c:formatCode="General">
                  <c:v>9.5</c:v>
                </c:pt>
                <c:pt idx="16" c:formatCode="General">
                  <c:v>12.5</c:v>
                </c:pt>
                <c:pt idx="17" c:formatCode="General">
                  <c:v>17.5</c:v>
                </c:pt>
                <c:pt idx="18" c:formatCode="General">
                  <c:v>25</c:v>
                </c:pt>
              </c:numCache>
            </c:numRef>
          </c:cat>
          <c:val>
            <c:numRef>
              <c:f>базовая!$K$2:$K$20</c:f>
              <c:numCache>
                <c:formatCode>General</c:formatCode>
                <c:ptCount val="19"/>
                <c:pt idx="0">
                  <c:v>10.3441635425901</c:v>
                </c:pt>
                <c:pt idx="1">
                  <c:v>10.4017065457723</c:v>
                </c:pt>
                <c:pt idx="2">
                  <c:v>10.582870289813</c:v>
                </c:pt>
                <c:pt idx="3">
                  <c:v>10.7524633497888</c:v>
                </c:pt>
                <c:pt idx="4">
                  <c:v>10.9956953025208</c:v>
                </c:pt>
                <c:pt idx="5">
                  <c:v>11.4440406865501</c:v>
                </c:pt>
                <c:pt idx="6">
                  <c:v>12.2143870077675</c:v>
                </c:pt>
                <c:pt idx="7">
                  <c:v>13.200891267754</c:v>
                </c:pt>
                <c:pt idx="8">
                  <c:v>14.335194500312</c:v>
                </c:pt>
                <c:pt idx="9">
                  <c:v>15.3696709829129</c:v>
                </c:pt>
                <c:pt idx="10">
                  <c:v>16.0983178192178</c:v>
                </c:pt>
                <c:pt idx="11">
                  <c:v>16.6531044049618</c:v>
                </c:pt>
                <c:pt idx="12">
                  <c:v>17.060875532535</c:v>
                </c:pt>
                <c:pt idx="13">
                  <c:v>17.3775379472727</c:v>
                </c:pt>
                <c:pt idx="14">
                  <c:v>17.619373838813</c:v>
                </c:pt>
                <c:pt idx="15">
                  <c:v>17.8165637891966</c:v>
                </c:pt>
                <c:pt idx="16">
                  <c:v>18.2035752449407</c:v>
                </c:pt>
                <c:pt idx="17">
                  <c:v>18.5201005536575</c:v>
                </c:pt>
                <c:pt idx="18">
                  <c:v>18.7135137978894</c:v>
                </c:pt>
              </c:numCache>
            </c:numRef>
          </c:val>
          <c:smooth val="0"/>
        </c:ser>
        <c:ser>
          <c:idx val="5"/>
          <c:order val="3"/>
          <c:tx>
            <c:strRef>
              <c:f>базовая!$L$1</c:f>
              <c:strCache>
                <c:ptCount val="1"/>
                <c:pt idx="0">
                  <c:v>Уменьшение наклона, %</c:v>
                </c:pt>
              </c:strCache>
            </c:strRef>
          </c:tx>
          <c:spPr>
            <a:ln w="25400" cap="rnd">
              <a:solidFill>
                <a:schemeClr val="accent6">
                  <a:alpha val="80000"/>
                </a:schemeClr>
              </a:solidFill>
              <a:round/>
            </a:ln>
            <a:effectLst/>
            <a:sp3d contourW="25400"/>
          </c:spPr>
          <c:marker>
            <c:symbol val="none"/>
          </c:marker>
          <c:dLbls>
            <c:delete val="1"/>
          </c:dLbls>
          <c:cat>
            <c:numRef>
              <c:f>базовая!$B$2:$B$20</c:f>
              <c:numCache>
                <c:formatCode>General</c:formatCode>
                <c:ptCount val="19"/>
                <c:pt idx="0" c:formatCode="General">
                  <c:v>0.0028</c:v>
                </c:pt>
                <c:pt idx="1" c:formatCode="General">
                  <c:v>0.0417</c:v>
                </c:pt>
                <c:pt idx="2" c:formatCode="General">
                  <c:v>0.1667</c:v>
                </c:pt>
                <c:pt idx="3" c:formatCode="General">
                  <c:v>0.375</c:v>
                </c:pt>
                <c:pt idx="4" c:formatCode="General">
                  <c:v>0.625</c:v>
                </c:pt>
                <c:pt idx="5" c:formatCode="General">
                  <c:v>0.875</c:v>
                </c:pt>
                <c:pt idx="6" c:formatCode="General">
                  <c:v>1.25</c:v>
                </c:pt>
                <c:pt idx="7" c:formatCode="General">
                  <c:v>1.75</c:v>
                </c:pt>
                <c:pt idx="8" c:formatCode="General">
                  <c:v>2.5</c:v>
                </c:pt>
                <c:pt idx="9" c:formatCode="General">
                  <c:v>3.5</c:v>
                </c:pt>
                <c:pt idx="10" c:formatCode="General">
                  <c:v>4.5</c:v>
                </c:pt>
                <c:pt idx="11" c:formatCode="General">
                  <c:v>5.5</c:v>
                </c:pt>
                <c:pt idx="12" c:formatCode="General">
                  <c:v>6.5</c:v>
                </c:pt>
                <c:pt idx="13" c:formatCode="General">
                  <c:v>7.5</c:v>
                </c:pt>
                <c:pt idx="14" c:formatCode="General">
                  <c:v>8.5</c:v>
                </c:pt>
                <c:pt idx="15" c:formatCode="General">
                  <c:v>9.5</c:v>
                </c:pt>
                <c:pt idx="16" c:formatCode="General">
                  <c:v>12.5</c:v>
                </c:pt>
                <c:pt idx="17" c:formatCode="General">
                  <c:v>17.5</c:v>
                </c:pt>
                <c:pt idx="18" c:formatCode="General">
                  <c:v>25</c:v>
                </c:pt>
              </c:numCache>
            </c:numRef>
          </c:cat>
          <c:val>
            <c:numRef>
              <c:f>базовая!$L$2:$L$20</c:f>
              <c:numCache>
                <c:formatCode>General</c:formatCode>
                <c:ptCount val="19"/>
                <c:pt idx="0">
                  <c:v>17.5859414206685</c:v>
                </c:pt>
                <c:pt idx="1">
                  <c:v>17.529849081432</c:v>
                </c:pt>
                <c:pt idx="2">
                  <c:v>17.3532524906024</c:v>
                </c:pt>
                <c:pt idx="3">
                  <c:v>16.9509600960042</c:v>
                </c:pt>
                <c:pt idx="4">
                  <c:v>16.5460028983831</c:v>
                </c:pt>
                <c:pt idx="5">
                  <c:v>16.3854309273966</c:v>
                </c:pt>
                <c:pt idx="6">
                  <c:v>16.3108706478905</c:v>
                </c:pt>
                <c:pt idx="7">
                  <c:v>16.2872614532818</c:v>
                </c:pt>
                <c:pt idx="8">
                  <c:v>16.1245162854101</c:v>
                </c:pt>
                <c:pt idx="9">
                  <c:v>15.7677997141353</c:v>
                </c:pt>
                <c:pt idx="10">
                  <c:v>15.4129843106784</c:v>
                </c:pt>
                <c:pt idx="11">
                  <c:v>15.1239696556675</c:v>
                </c:pt>
                <c:pt idx="12">
                  <c:v>14.8745877161843</c:v>
                </c:pt>
                <c:pt idx="13">
                  <c:v>14.6794588077006</c:v>
                </c:pt>
                <c:pt idx="14">
                  <c:v>14.522711215947</c:v>
                </c:pt>
                <c:pt idx="15">
                  <c:v>14.4094840374218</c:v>
                </c:pt>
                <c:pt idx="16">
                  <c:v>14.2198342150158</c:v>
                </c:pt>
                <c:pt idx="17">
                  <c:v>14.1680112250061</c:v>
                </c:pt>
                <c:pt idx="18">
                  <c:v>14.2361966339901</c:v>
                </c:pt>
              </c:numCache>
            </c:numRef>
          </c:val>
          <c:smooth val="0"/>
        </c:ser>
        <c:ser>
          <c:idx val="6"/>
          <c:order val="4"/>
          <c:tx>
            <c:strRef>
              <c:f>базовая!$M$1</c:f>
              <c:strCache>
                <c:ptCount val="1"/>
                <c:pt idx="0">
                  <c:v>Рост коротких, %</c:v>
                </c:pt>
              </c:strCache>
            </c:strRef>
          </c:tx>
          <c:spPr>
            <a:ln w="25400" cap="rnd">
              <a:solidFill>
                <a:schemeClr val="accent1">
                  <a:lumMod val="60000"/>
                  <a:alpha val="80000"/>
                </a:schemeClr>
              </a:solidFill>
              <a:round/>
            </a:ln>
            <a:effectLst/>
            <a:sp3d contourW="25400"/>
          </c:spPr>
          <c:marker>
            <c:symbol val="none"/>
          </c:marker>
          <c:dLbls>
            <c:delete val="1"/>
          </c:dLbls>
          <c:cat>
            <c:numRef>
              <c:f>базовая!$B$2:$B$20</c:f>
              <c:numCache>
                <c:formatCode>General</c:formatCode>
                <c:ptCount val="19"/>
                <c:pt idx="0" c:formatCode="General">
                  <c:v>0.0028</c:v>
                </c:pt>
                <c:pt idx="1" c:formatCode="General">
                  <c:v>0.0417</c:v>
                </c:pt>
                <c:pt idx="2" c:formatCode="General">
                  <c:v>0.1667</c:v>
                </c:pt>
                <c:pt idx="3" c:formatCode="General">
                  <c:v>0.375</c:v>
                </c:pt>
                <c:pt idx="4" c:formatCode="General">
                  <c:v>0.625</c:v>
                </c:pt>
                <c:pt idx="5" c:formatCode="General">
                  <c:v>0.875</c:v>
                </c:pt>
                <c:pt idx="6" c:formatCode="General">
                  <c:v>1.25</c:v>
                </c:pt>
                <c:pt idx="7" c:formatCode="General">
                  <c:v>1.75</c:v>
                </c:pt>
                <c:pt idx="8" c:formatCode="General">
                  <c:v>2.5</c:v>
                </c:pt>
                <c:pt idx="9" c:formatCode="General">
                  <c:v>3.5</c:v>
                </c:pt>
                <c:pt idx="10" c:formatCode="General">
                  <c:v>4.5</c:v>
                </c:pt>
                <c:pt idx="11" c:formatCode="General">
                  <c:v>5.5</c:v>
                </c:pt>
                <c:pt idx="12" c:formatCode="General">
                  <c:v>6.5</c:v>
                </c:pt>
                <c:pt idx="13" c:formatCode="General">
                  <c:v>7.5</c:v>
                </c:pt>
                <c:pt idx="14" c:formatCode="General">
                  <c:v>8.5</c:v>
                </c:pt>
                <c:pt idx="15" c:formatCode="General">
                  <c:v>9.5</c:v>
                </c:pt>
                <c:pt idx="16" c:formatCode="General">
                  <c:v>12.5</c:v>
                </c:pt>
                <c:pt idx="17" c:formatCode="General">
                  <c:v>17.5</c:v>
                </c:pt>
                <c:pt idx="18" c:formatCode="General">
                  <c:v>25</c:v>
                </c:pt>
              </c:numCache>
            </c:numRef>
          </c:cat>
          <c:val>
            <c:numRef>
              <c:f>базовая!$M$2:$M$20</c:f>
              <c:numCache>
                <c:formatCode>General</c:formatCode>
                <c:ptCount val="19"/>
                <c:pt idx="0">
                  <c:v>18.5865012247142</c:v>
                </c:pt>
                <c:pt idx="1">
                  <c:v>18.5381457598552</c:v>
                </c:pt>
                <c:pt idx="2">
                  <c:v>18.3859073194848</c:v>
                </c:pt>
                <c:pt idx="3">
                  <c:v>18.0225518069002</c:v>
                </c:pt>
                <c:pt idx="4">
                  <c:v>17.6617266365371</c:v>
                </c:pt>
                <c:pt idx="5">
                  <c:v>17.5426128684453</c:v>
                </c:pt>
                <c:pt idx="6">
                  <c:v>17.5255781447332</c:v>
                </c:pt>
                <c:pt idx="7">
                  <c:v>17.5707426321395</c:v>
                </c:pt>
                <c:pt idx="8">
                  <c:v>17.496307142595</c:v>
                </c:pt>
                <c:pt idx="9">
                  <c:v>17.2343100983925</c:v>
                </c:pt>
                <c:pt idx="10">
                  <c:v>16.9532623367917</c:v>
                </c:pt>
                <c:pt idx="11">
                  <c:v>16.7216979790237</c:v>
                </c:pt>
                <c:pt idx="12">
                  <c:v>16.517058376021</c:v>
                </c:pt>
                <c:pt idx="13">
                  <c:v>16.3567748342246</c:v>
                </c:pt>
                <c:pt idx="14">
                  <c:v>16.2271648413336</c:v>
                </c:pt>
                <c:pt idx="15">
                  <c:v>16.1350724460533</c:v>
                </c:pt>
                <c:pt idx="16">
                  <c:v>15.984684668117</c:v>
                </c:pt>
                <c:pt idx="17">
                  <c:v>15.9579407112122</c:v>
                </c:pt>
                <c:pt idx="18">
                  <c:v>16.0346522706811</c:v>
                </c:pt>
              </c:numCache>
            </c:numRef>
          </c:val>
          <c:smooth val="0"/>
        </c:ser>
        <c:ser>
          <c:idx val="7"/>
          <c:order val="5"/>
          <c:tx>
            <c:strRef>
              <c:f>базовая!$N$1</c:f>
              <c:strCache>
                <c:ptCount val="1"/>
                <c:pt idx="0">
                  <c:v>Снижение коротких, %</c:v>
                </c:pt>
              </c:strCache>
            </c:strRef>
          </c:tx>
          <c:spPr>
            <a:ln w="25400" cap="rnd">
              <a:solidFill>
                <a:schemeClr val="accent2">
                  <a:lumMod val="60000"/>
                  <a:alpha val="80000"/>
                </a:schemeClr>
              </a:solidFill>
              <a:round/>
            </a:ln>
            <a:effectLst/>
            <a:sp3d contourW="25400"/>
          </c:spPr>
          <c:marker>
            <c:symbol val="none"/>
          </c:marker>
          <c:dLbls>
            <c:delete val="1"/>
          </c:dLbls>
          <c:cat>
            <c:numRef>
              <c:f>базовая!$B$2:$B$20</c:f>
              <c:numCache>
                <c:formatCode>General</c:formatCode>
                <c:ptCount val="19"/>
                <c:pt idx="0" c:formatCode="General">
                  <c:v>0.0028</c:v>
                </c:pt>
                <c:pt idx="1" c:formatCode="General">
                  <c:v>0.0417</c:v>
                </c:pt>
                <c:pt idx="2" c:formatCode="General">
                  <c:v>0.1667</c:v>
                </c:pt>
                <c:pt idx="3" c:formatCode="General">
                  <c:v>0.375</c:v>
                </c:pt>
                <c:pt idx="4" c:formatCode="General">
                  <c:v>0.625</c:v>
                </c:pt>
                <c:pt idx="5" c:formatCode="General">
                  <c:v>0.875</c:v>
                </c:pt>
                <c:pt idx="6" c:formatCode="General">
                  <c:v>1.25</c:v>
                </c:pt>
                <c:pt idx="7" c:formatCode="General">
                  <c:v>1.75</c:v>
                </c:pt>
                <c:pt idx="8" c:formatCode="General">
                  <c:v>2.5</c:v>
                </c:pt>
                <c:pt idx="9" c:formatCode="General">
                  <c:v>3.5</c:v>
                </c:pt>
                <c:pt idx="10" c:formatCode="General">
                  <c:v>4.5</c:v>
                </c:pt>
                <c:pt idx="11" c:formatCode="General">
                  <c:v>5.5</c:v>
                </c:pt>
                <c:pt idx="12" c:formatCode="General">
                  <c:v>6.5</c:v>
                </c:pt>
                <c:pt idx="13" c:formatCode="General">
                  <c:v>7.5</c:v>
                </c:pt>
                <c:pt idx="14" c:formatCode="General">
                  <c:v>8.5</c:v>
                </c:pt>
                <c:pt idx="15" c:formatCode="General">
                  <c:v>9.5</c:v>
                </c:pt>
                <c:pt idx="16" c:formatCode="General">
                  <c:v>12.5</c:v>
                </c:pt>
                <c:pt idx="17" c:formatCode="General">
                  <c:v>17.5</c:v>
                </c:pt>
                <c:pt idx="18" c:formatCode="General">
                  <c:v>25</c:v>
                </c:pt>
              </c:numCache>
            </c:numRef>
          </c:cat>
          <c:val>
            <c:numRef>
              <c:f>базовая!$N$2:$N$20</c:f>
              <c:numCache>
                <c:formatCode>General</c:formatCode>
                <c:ptCount val="19"/>
                <c:pt idx="0">
                  <c:v>8.59349877528578</c:v>
                </c:pt>
                <c:pt idx="1">
                  <c:v>8.64185424014483</c:v>
                </c:pt>
                <c:pt idx="2">
                  <c:v>8.79409268051516</c:v>
                </c:pt>
                <c:pt idx="3">
                  <c:v>8.91744819309983</c:v>
                </c:pt>
                <c:pt idx="4">
                  <c:v>9.10827336346289</c:v>
                </c:pt>
                <c:pt idx="5">
                  <c:v>9.5073871315547</c:v>
                </c:pt>
                <c:pt idx="6">
                  <c:v>10.2094218552668</c:v>
                </c:pt>
                <c:pt idx="7">
                  <c:v>11.1142573678605</c:v>
                </c:pt>
                <c:pt idx="8">
                  <c:v>12.143692857405</c:v>
                </c:pt>
                <c:pt idx="9">
                  <c:v>13.0656899016075</c:v>
                </c:pt>
                <c:pt idx="10">
                  <c:v>13.7067376632083</c:v>
                </c:pt>
                <c:pt idx="11">
                  <c:v>14.1933020209763</c:v>
                </c:pt>
                <c:pt idx="12">
                  <c:v>14.547941623979</c:v>
                </c:pt>
                <c:pt idx="13">
                  <c:v>14.8232251657754</c:v>
                </c:pt>
                <c:pt idx="14">
                  <c:v>15.0328351586664</c:v>
                </c:pt>
                <c:pt idx="15">
                  <c:v>15.2049275539467</c:v>
                </c:pt>
                <c:pt idx="16">
                  <c:v>15.545315331883</c:v>
                </c:pt>
                <c:pt idx="17">
                  <c:v>15.8320592887878</c:v>
                </c:pt>
                <c:pt idx="18">
                  <c:v>16.0153477293189</c:v>
                </c:pt>
              </c:numCache>
            </c:numRef>
          </c:val>
          <c:smooth val="0"/>
        </c:ser>
        <c:ser>
          <c:idx val="1"/>
          <c:order val="6"/>
          <c:tx>
            <c:strRef>
              <c:f>базовая!$G$1</c:f>
              <c:strCache>
                <c:ptCount val="1"/>
                <c:pt idx="0">
                  <c:v>БС, %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  <a:sp3d contourW="38100"/>
          </c:spPr>
          <c:marker>
            <c:symbol val="none"/>
          </c:marker>
          <c:dLbls>
            <c:delete val="1"/>
          </c:dLbls>
          <c:cat>
            <c:numRef>
              <c:f>базовая!$B$2:$B$20</c:f>
              <c:numCache>
                <c:formatCode>General</c:formatCode>
                <c:ptCount val="19"/>
                <c:pt idx="0" c:formatCode="General">
                  <c:v>0.0028</c:v>
                </c:pt>
                <c:pt idx="1" c:formatCode="General">
                  <c:v>0.0417</c:v>
                </c:pt>
                <c:pt idx="2" c:formatCode="General">
                  <c:v>0.1667</c:v>
                </c:pt>
                <c:pt idx="3" c:formatCode="General">
                  <c:v>0.375</c:v>
                </c:pt>
                <c:pt idx="4" c:formatCode="General">
                  <c:v>0.625</c:v>
                </c:pt>
                <c:pt idx="5" c:formatCode="General">
                  <c:v>0.875</c:v>
                </c:pt>
                <c:pt idx="6" c:formatCode="General">
                  <c:v>1.25</c:v>
                </c:pt>
                <c:pt idx="7" c:formatCode="General">
                  <c:v>1.75</c:v>
                </c:pt>
                <c:pt idx="8" c:formatCode="General">
                  <c:v>2.5</c:v>
                </c:pt>
                <c:pt idx="9" c:formatCode="General">
                  <c:v>3.5</c:v>
                </c:pt>
                <c:pt idx="10" c:formatCode="General">
                  <c:v>4.5</c:v>
                </c:pt>
                <c:pt idx="11" c:formatCode="General">
                  <c:v>5.5</c:v>
                </c:pt>
                <c:pt idx="12" c:formatCode="General">
                  <c:v>6.5</c:v>
                </c:pt>
                <c:pt idx="13" c:formatCode="General">
                  <c:v>7.5</c:v>
                </c:pt>
                <c:pt idx="14" c:formatCode="General">
                  <c:v>8.5</c:v>
                </c:pt>
                <c:pt idx="15" c:formatCode="General">
                  <c:v>9.5</c:v>
                </c:pt>
                <c:pt idx="16" c:formatCode="General">
                  <c:v>12.5</c:v>
                </c:pt>
                <c:pt idx="17" c:formatCode="General">
                  <c:v>17.5</c:v>
                </c:pt>
                <c:pt idx="18" c:formatCode="General">
                  <c:v>25</c:v>
                </c:pt>
              </c:numCache>
            </c:numRef>
          </c:cat>
          <c:val>
            <c:numRef>
              <c:f>базовая!$G$2:$G$20</c:f>
              <c:numCache>
                <c:formatCode>General</c:formatCode>
                <c:ptCount val="19"/>
                <c:pt idx="0">
                  <c:v>13.59</c:v>
                </c:pt>
                <c:pt idx="1">
                  <c:v>13.59</c:v>
                </c:pt>
                <c:pt idx="2">
                  <c:v>13.59</c:v>
                </c:pt>
                <c:pt idx="3">
                  <c:v>13.47</c:v>
                </c:pt>
                <c:pt idx="4">
                  <c:v>13.385</c:v>
                </c:pt>
                <c:pt idx="5">
                  <c:v>13.525</c:v>
                </c:pt>
                <c:pt idx="6">
                  <c:v>13.8675</c:v>
                </c:pt>
                <c:pt idx="7">
                  <c:v>14.3425</c:v>
                </c:pt>
                <c:pt idx="8">
                  <c:v>14.82</c:v>
                </c:pt>
                <c:pt idx="9">
                  <c:v>15.15</c:v>
                </c:pt>
                <c:pt idx="10">
                  <c:v>15.33</c:v>
                </c:pt>
                <c:pt idx="11">
                  <c:v>15.4575</c:v>
                </c:pt>
                <c:pt idx="12">
                  <c:v>15.5325</c:v>
                </c:pt>
                <c:pt idx="13">
                  <c:v>15.59</c:v>
                </c:pt>
                <c:pt idx="14">
                  <c:v>15.63</c:v>
                </c:pt>
                <c:pt idx="15">
                  <c:v>15.67</c:v>
                </c:pt>
                <c:pt idx="16">
                  <c:v>15.765</c:v>
                </c:pt>
                <c:pt idx="17">
                  <c:v>15.895</c:v>
                </c:pt>
                <c:pt idx="18">
                  <c:v>16.025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13156643"/>
        <c:axId val="454774364"/>
      </c:lineChart>
      <c:catAx>
        <c:axId val="81315664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Срок до середины интервала, лет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4774364"/>
        <c:crosses val="autoZero"/>
        <c:auto val="1"/>
        <c:lblAlgn val="ctr"/>
        <c:lblOffset val="100"/>
        <c:noMultiLvlLbl val="0"/>
      </c:catAx>
      <c:valAx>
        <c:axId val="454774364"/>
        <c:scaling>
          <c:orientation val="minMax"/>
          <c:max val="21"/>
          <c:min val="7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Ставка, % годовых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31566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18415</xdr:colOff>
      <xdr:row>27</xdr:row>
      <xdr:rowOff>23495</xdr:rowOff>
    </xdr:from>
    <xdr:to>
      <xdr:col>9</xdr:col>
      <xdr:colOff>836295</xdr:colOff>
      <xdr:row>63</xdr:row>
      <xdr:rowOff>13335</xdr:rowOff>
    </xdr:to>
    <xdr:graphicFrame>
      <xdr:nvGraphicFramePr>
        <xdr:cNvPr id="2" name="Диаграмма 1"/>
        <xdr:cNvGraphicFramePr/>
      </xdr:nvGraphicFramePr>
      <xdr:xfrm>
        <a:off x="715010" y="5144135"/>
        <a:ext cx="9452610" cy="6573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31115</xdr:colOff>
      <xdr:row>27</xdr:row>
      <xdr:rowOff>5715</xdr:rowOff>
    </xdr:from>
    <xdr:to>
      <xdr:col>23</xdr:col>
      <xdr:colOff>527050</xdr:colOff>
      <xdr:row>62</xdr:row>
      <xdr:rowOff>178435</xdr:rowOff>
    </xdr:to>
    <xdr:graphicFrame>
      <xdr:nvGraphicFramePr>
        <xdr:cNvPr id="3" name="Диаграмма 2"/>
        <xdr:cNvGraphicFramePr/>
      </xdr:nvGraphicFramePr>
      <xdr:xfrm>
        <a:off x="13225780" y="5126355"/>
        <a:ext cx="9452610" cy="6573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7620</xdr:colOff>
      <xdr:row>69</xdr:row>
      <xdr:rowOff>0</xdr:rowOff>
    </xdr:from>
    <xdr:to>
      <xdr:col>9</xdr:col>
      <xdr:colOff>825500</xdr:colOff>
      <xdr:row>104</xdr:row>
      <xdr:rowOff>172720</xdr:rowOff>
    </xdr:to>
    <xdr:graphicFrame>
      <xdr:nvGraphicFramePr>
        <xdr:cNvPr id="4" name="Диаграмма 3"/>
        <xdr:cNvGraphicFramePr/>
      </xdr:nvGraphicFramePr>
      <xdr:xfrm>
        <a:off x="704215" y="12801600"/>
        <a:ext cx="9452610" cy="6573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20320</xdr:colOff>
      <xdr:row>69</xdr:row>
      <xdr:rowOff>12700</xdr:rowOff>
    </xdr:from>
    <xdr:to>
      <xdr:col>23</xdr:col>
      <xdr:colOff>516255</xdr:colOff>
      <xdr:row>105</xdr:row>
      <xdr:rowOff>2540</xdr:rowOff>
    </xdr:to>
    <xdr:graphicFrame>
      <xdr:nvGraphicFramePr>
        <xdr:cNvPr id="5" name="Диаграмма 4"/>
        <xdr:cNvGraphicFramePr/>
      </xdr:nvGraphicFramePr>
      <xdr:xfrm>
        <a:off x="13214985" y="12814300"/>
        <a:ext cx="9452610" cy="6573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3175</xdr:colOff>
      <xdr:row>111</xdr:row>
      <xdr:rowOff>25400</xdr:rowOff>
    </xdr:from>
    <xdr:to>
      <xdr:col>9</xdr:col>
      <xdr:colOff>821055</xdr:colOff>
      <xdr:row>147</xdr:row>
      <xdr:rowOff>15240</xdr:rowOff>
    </xdr:to>
    <xdr:graphicFrame>
      <xdr:nvGraphicFramePr>
        <xdr:cNvPr id="6" name="Диаграмма 5"/>
        <xdr:cNvGraphicFramePr/>
      </xdr:nvGraphicFramePr>
      <xdr:xfrm>
        <a:off x="699770" y="20507960"/>
        <a:ext cx="9452610" cy="6573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53975</xdr:colOff>
      <xdr:row>111</xdr:row>
      <xdr:rowOff>7620</xdr:rowOff>
    </xdr:from>
    <xdr:to>
      <xdr:col>23</xdr:col>
      <xdr:colOff>549910</xdr:colOff>
      <xdr:row>146</xdr:row>
      <xdr:rowOff>180340</xdr:rowOff>
    </xdr:to>
    <xdr:graphicFrame>
      <xdr:nvGraphicFramePr>
        <xdr:cNvPr id="7" name="Диаграмма 6"/>
        <xdr:cNvGraphicFramePr/>
      </xdr:nvGraphicFramePr>
      <xdr:xfrm>
        <a:off x="13248640" y="20490180"/>
        <a:ext cx="9452610" cy="6573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664210</xdr:colOff>
      <xdr:row>27</xdr:row>
      <xdr:rowOff>60960</xdr:rowOff>
    </xdr:from>
    <xdr:to>
      <xdr:col>41</xdr:col>
      <xdr:colOff>232410</xdr:colOff>
      <xdr:row>63</xdr:row>
      <xdr:rowOff>45720</xdr:rowOff>
    </xdr:to>
    <xdr:graphicFrame>
      <xdr:nvGraphicFramePr>
        <xdr:cNvPr id="9" name="Диаграмма 8"/>
        <xdr:cNvGraphicFramePr/>
      </xdr:nvGraphicFramePr>
      <xdr:xfrm>
        <a:off x="25601930" y="5181600"/>
        <a:ext cx="9320530" cy="6568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zoomScale="78" zoomScaleNormal="78" workbookViewId="0">
      <selection activeCell="F12" sqref="F12"/>
    </sheetView>
  </sheetViews>
  <sheetFormatPr defaultColWidth="10.1574074074074" defaultRowHeight="14.4" outlineLevelCol="1"/>
  <sheetData>
    <row r="1" spans="1:2">
      <c r="A1" t="s">
        <v>0</v>
      </c>
      <c r="B1" t="s">
        <v>1</v>
      </c>
    </row>
    <row r="2" spans="1:2">
      <c r="A2">
        <v>0.25</v>
      </c>
      <c r="B2" s="20">
        <v>13.59</v>
      </c>
    </row>
    <row r="3" spans="1:2">
      <c r="A3">
        <v>0.5</v>
      </c>
      <c r="B3" s="20">
        <v>13.35</v>
      </c>
    </row>
    <row r="4" spans="1:2">
      <c r="A4">
        <v>0.75</v>
      </c>
      <c r="B4" s="20">
        <v>13.42</v>
      </c>
    </row>
    <row r="5" spans="1:2">
      <c r="A5">
        <v>1</v>
      </c>
      <c r="B5" s="20">
        <v>13.63</v>
      </c>
    </row>
    <row r="6" spans="1:2">
      <c r="A6">
        <v>2</v>
      </c>
      <c r="B6" s="20">
        <v>14.58</v>
      </c>
    </row>
    <row r="7" spans="1:2">
      <c r="A7">
        <v>3</v>
      </c>
      <c r="B7" s="20">
        <v>15.06</v>
      </c>
    </row>
    <row r="8" spans="1:2">
      <c r="A8">
        <v>5</v>
      </c>
      <c r="B8" s="20">
        <v>15.42</v>
      </c>
    </row>
    <row r="9" spans="1:2">
      <c r="A9">
        <v>7</v>
      </c>
      <c r="B9" s="20">
        <v>15.57</v>
      </c>
    </row>
    <row r="10" spans="1:2">
      <c r="A10">
        <v>10</v>
      </c>
      <c r="B10" s="20">
        <v>15.69</v>
      </c>
    </row>
    <row r="11" spans="1:2">
      <c r="A11">
        <v>15</v>
      </c>
      <c r="B11" s="20">
        <v>15.84</v>
      </c>
    </row>
    <row r="12" spans="1:2">
      <c r="A12">
        <v>20</v>
      </c>
      <c r="B12" s="20">
        <v>15.95</v>
      </c>
    </row>
    <row r="13" spans="1:2">
      <c r="A13">
        <v>30</v>
      </c>
      <c r="B13" s="20">
        <v>16.1</v>
      </c>
    </row>
  </sheetData>
  <pageMargins left="0.7875" right="0.7875" top="1.05277777777778" bottom="1.05277777777778" header="0.7875" footer="0.7875"/>
  <pageSetup paperSize="9" orientation="portrait" horizontalDpi="300" verticalDpi="300"/>
  <headerFooter>
    <oddHeader>&amp;C&amp;"Times New Roman,Regular"&amp;12 &amp;Kffffff&amp;A</oddHeader>
    <oddFooter>&amp;C&amp;"Times New Roman,Regular"&amp;12 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4"/>
  <sheetViews>
    <sheetView tabSelected="1" zoomScale="25" zoomScaleNormal="25" workbookViewId="0">
      <selection activeCell="AK11" sqref="AK11"/>
    </sheetView>
  </sheetViews>
  <sheetFormatPr defaultColWidth="10.1574074074074" defaultRowHeight="14.4"/>
  <cols>
    <col min="3" max="3" width="19.8981481481481" customWidth="1"/>
    <col min="4" max="4" width="17.0925925925926" customWidth="1"/>
    <col min="5" max="5" width="17.9814814814815" customWidth="1"/>
    <col min="6" max="6" width="16.6296296296296" customWidth="1"/>
    <col min="8" max="8" width="20" customWidth="1"/>
    <col min="9" max="9" width="13.9907407407407" customWidth="1"/>
    <col min="10" max="10" width="12.2037037037037" customWidth="1"/>
    <col min="11" max="11" width="21.8055555555556" customWidth="1"/>
    <col min="12" max="12" width="22.3240740740741" customWidth="1"/>
    <col min="13" max="13" width="15.5092592592593" customWidth="1"/>
    <col min="14" max="14" width="20.3518518518519" customWidth="1"/>
    <col min="19" max="19" width="13.4814814814815" customWidth="1"/>
  </cols>
  <sheetData>
    <row r="1" ht="28.8" customHeight="1" spans="1:19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3" t="s">
        <v>15</v>
      </c>
      <c r="P1" s="1" t="s">
        <v>16</v>
      </c>
      <c r="Q1" s="3"/>
      <c r="S1" s="4"/>
    </row>
    <row r="2" spans="1:19">
      <c r="A2" s="5">
        <v>1</v>
      </c>
      <c r="B2">
        <v>0.0028</v>
      </c>
      <c r="C2">
        <f>IF(B2&lt;MIN(MOEX!$A$2:$A$100),MOEX!$A$2,INDEX(MOEX!$A$2:$A$100,MATCH(B2,MOEX!$A$2:$A$100,1)))</f>
        <v>0.25</v>
      </c>
      <c r="D2">
        <f>INDEX(MOEX!$B$2:$B$100,MATCH(C2,MOEX!$A$2:$A$100,0))</f>
        <v>13.59</v>
      </c>
      <c r="E2" t="str">
        <f>IFERROR(IF(B2&gt;=MAX(MOEX!$A$2:$A$100),MAX(MOEX!$A$2:$A$100),INDEX(MOEX!$A$2:$A$100,MATCH(B2,MOEX!$A$2:$A$100,1)+1)),"—")</f>
        <v>—</v>
      </c>
      <c r="F2" t="str">
        <f>IFERROR(INDEX(MOEX!$B$2:$B$100,MATCH(E2,MOEX!$A$2:$A$100,0)),"—")</f>
        <v>—</v>
      </c>
      <c r="G2">
        <f>IF(B2&lt;MIN(MOEX!$A$2:$A$100),INDEX(MOEX!$B$2:$B$100,1),IF(B2&gt;MAX(MOEX!$A$2:$A$100),INDEX(MOEX!$B$2:$B$100,COUNT(MOEX!$B$2:$B$100)),IF(COUNTIF(MOEX!$A$2:$A$100,B2)&gt;0,INDEX(MOEX!$B$2:$B$100,MATCH(B2,MOEX!$A$2:$A$100,0)),D2+(B2-C2)*(F2-D2)/(E2-C2))))</f>
        <v>13.59</v>
      </c>
      <c r="H2" s="6" t="str">
        <f>IF(OR(B2&lt;MIN(MOEX!$A$2:$A$100),B2&gt;MAX(MOEX!$A$2:$A$100)),"Ближайшее значение",IF(COUNTIF(MOEX!$A$2:$A$100,B2)&gt;0,"Точное совпадение","Интерполяция"))</f>
        <v>Ближайшее значение</v>
      </c>
      <c r="I2" s="7">
        <f t="shared" ref="I2:I20" si="0">G2+$Q$2</f>
        <v>17.59</v>
      </c>
      <c r="J2">
        <f t="shared" ref="J2:J20" si="1">G2-$Q$2</f>
        <v>9.59</v>
      </c>
      <c r="K2">
        <f t="shared" ref="K2:K20" si="2">G2-0.65*$Q$3*EXP(-B2/$Q$5)+0.9*$Q$4*(1-EXP(-B2/$Q$5))</f>
        <v>10.3441635425901</v>
      </c>
      <c r="L2">
        <f t="shared" ref="L2:L20" si="3">G2+0.8*$Q$3*EXP(-B2/$Q$5)-0.6*$Q$4*(1-EXP(-B2/$Q$5))</f>
        <v>17.5859414206685</v>
      </c>
      <c r="M2">
        <f t="shared" ref="M2:M20" si="4">G2+$Q$3*EXP(-B2/$Q$5)</f>
        <v>18.5865012247142</v>
      </c>
      <c r="N2" s="8">
        <f t="shared" ref="N2:N20" si="5">G2-$Q$3*EXP(-B2/$Q$5)</f>
        <v>8.59349877528578</v>
      </c>
      <c r="P2" s="9" t="s">
        <v>17</v>
      </c>
      <c r="Q2" s="10">
        <v>4</v>
      </c>
      <c r="S2" s="11"/>
    </row>
    <row r="3" spans="1:19">
      <c r="A3" s="5">
        <v>2</v>
      </c>
      <c r="B3">
        <v>0.0417</v>
      </c>
      <c r="C3">
        <f>IF(B3&lt;MIN(MOEX!$A$2:$A$100),MOEX!$A$2,INDEX(MOEX!$A$2:$A$100,MATCH(B3,MOEX!$A$2:$A$100,1)))</f>
        <v>0.25</v>
      </c>
      <c r="D3">
        <f>INDEX(MOEX!$B$2:$B$100,MATCH(C3,MOEX!$A$2:$A$100,0))</f>
        <v>13.59</v>
      </c>
      <c r="E3" t="str">
        <f>IFERROR(IF(B3&gt;=MAX(MOEX!$A$2:$A$100),MAX(MOEX!$A$2:$A$100),INDEX(MOEX!$A$2:$A$100,MATCH(B3,MOEX!$A$2:$A$100,1)+1)),"—")</f>
        <v>—</v>
      </c>
      <c r="F3" t="str">
        <f>IFERROR(INDEX(MOEX!$B$2:$B$100,MATCH(E3,MOEX!$A$2:$A$100,0)),"—")</f>
        <v>—</v>
      </c>
      <c r="G3">
        <f>IF(B3&lt;MIN(MOEX!$A$2:$A$100),INDEX(MOEX!$B$2:$B$100,1),IF(B3&gt;MAX(MOEX!$A$2:$A$100),INDEX(MOEX!$B$2:$B$100,COUNT(MOEX!$B$2:$B$100)),IF(COUNTIF(MOEX!$A$2:$A$100,B3)&gt;0,INDEX(MOEX!$B$2:$B$100,MATCH(B3,MOEX!$A$2:$A$100,0)),D3+(B3-C3)*(F3-D3)/(E3-C3))))</f>
        <v>13.59</v>
      </c>
      <c r="H3" t="str">
        <f>IF(OR(B3&lt;MIN(MOEX!$A$2:$A$100),B3&gt;MAX(MOEX!$A$2:$A$100)),"Ближайшее значение",IF(COUNTIF(MOEX!$A$2:$A$100,B3)&gt;0,"Точное совпадение","Интерполяция"))</f>
        <v>Ближайшее значение</v>
      </c>
      <c r="I3">
        <f t="shared" si="0"/>
        <v>17.59</v>
      </c>
      <c r="J3">
        <f t="shared" si="1"/>
        <v>9.59</v>
      </c>
      <c r="K3">
        <f t="shared" si="2"/>
        <v>10.4017065457723</v>
      </c>
      <c r="L3">
        <f t="shared" si="3"/>
        <v>17.529849081432</v>
      </c>
      <c r="M3">
        <f t="shared" si="4"/>
        <v>18.5381457598552</v>
      </c>
      <c r="N3" s="8">
        <f t="shared" si="5"/>
        <v>8.64185424014483</v>
      </c>
      <c r="P3" s="9" t="s">
        <v>18</v>
      </c>
      <c r="Q3" s="10">
        <v>5</v>
      </c>
      <c r="S3" s="11"/>
    </row>
    <row r="4" spans="1:19">
      <c r="A4" s="5">
        <v>3</v>
      </c>
      <c r="B4">
        <v>0.1667</v>
      </c>
      <c r="C4">
        <f>IF(B4&lt;MIN(MOEX!$A$2:$A$100),MOEX!$A$2,INDEX(MOEX!$A$2:$A$100,MATCH(B4,MOEX!$A$2:$A$100,1)))</f>
        <v>0.25</v>
      </c>
      <c r="D4">
        <f>INDEX(MOEX!$B$2:$B$100,MATCH(C4,MOEX!$A$2:$A$100,0))</f>
        <v>13.59</v>
      </c>
      <c r="E4" t="str">
        <f>IFERROR(IF(B4&gt;=MAX(MOEX!$A$2:$A$100),MAX(MOEX!$A$2:$A$100),INDEX(MOEX!$A$2:$A$100,MATCH(B4,MOEX!$A$2:$A$100,1)+1)),"—")</f>
        <v>—</v>
      </c>
      <c r="F4" t="str">
        <f>IFERROR(INDEX(MOEX!$B$2:$B$100,MATCH(E4,MOEX!$A$2:$A$100,0)),"—")</f>
        <v>—</v>
      </c>
      <c r="G4">
        <f>IF(B4&lt;MIN(MOEX!$A$2:$A$100),INDEX(MOEX!$B$2:$B$100,1),IF(B4&gt;MAX(MOEX!$A$2:$A$100),INDEX(MOEX!$B$2:$B$100,COUNT(MOEX!$B$2:$B$100)),IF(COUNTIF(MOEX!$A$2:$A$100,B4)&gt;0,INDEX(MOEX!$B$2:$B$100,MATCH(B4,MOEX!$A$2:$A$100,0)),D4+(B4-C4)*(F4-D4)/(E4-C4))))</f>
        <v>13.59</v>
      </c>
      <c r="H4" t="str">
        <f>IF(OR(B4&lt;MIN(MOEX!$A$2:$A$100),B4&gt;MAX(MOEX!$A$2:$A$100)),"Ближайшее значение",IF(COUNTIF(MOEX!$A$2:$A$100,B4)&gt;0,"Точное совпадение","Интерполяция"))</f>
        <v>Ближайшее значение</v>
      </c>
      <c r="I4">
        <f t="shared" si="0"/>
        <v>17.59</v>
      </c>
      <c r="J4">
        <f t="shared" si="1"/>
        <v>9.59</v>
      </c>
      <c r="K4">
        <f t="shared" si="2"/>
        <v>10.582870289813</v>
      </c>
      <c r="L4">
        <f t="shared" si="3"/>
        <v>17.3532524906024</v>
      </c>
      <c r="M4">
        <f t="shared" si="4"/>
        <v>18.3859073194848</v>
      </c>
      <c r="N4" s="8">
        <f t="shared" si="5"/>
        <v>8.79409268051516</v>
      </c>
      <c r="P4" s="9" t="s">
        <v>19</v>
      </c>
      <c r="Q4" s="10">
        <v>3</v>
      </c>
      <c r="S4" s="11"/>
    </row>
    <row r="5" spans="1:19">
      <c r="A5" s="5">
        <v>4</v>
      </c>
      <c r="B5">
        <v>0.375</v>
      </c>
      <c r="C5">
        <f>IF(B5&lt;MIN(MOEX!$A$2:$A$100),MOEX!$A$2,INDEX(MOEX!$A$2:$A$100,MATCH(B5,MOEX!$A$2:$A$100,1)))</f>
        <v>0.25</v>
      </c>
      <c r="D5">
        <f>INDEX(MOEX!$B$2:$B$100,MATCH(C5,MOEX!$A$2:$A$100,0))</f>
        <v>13.59</v>
      </c>
      <c r="E5">
        <f>IFERROR(IF(B5&gt;=MAX(MOEX!$A$2:$A$100),MAX(MOEX!$A$2:$A$100),INDEX(MOEX!$A$2:$A$100,MATCH(B5,MOEX!$A$2:$A$100,1)+1)),"—")</f>
        <v>0.5</v>
      </c>
      <c r="F5">
        <f>IFERROR(INDEX(MOEX!$B$2:$B$100,MATCH(E5,MOEX!$A$2:$A$100,0)),"—")</f>
        <v>13.35</v>
      </c>
      <c r="G5">
        <f>IF(B5&lt;MIN(MOEX!$A$2:$A$100),INDEX(MOEX!$B$2:$B$100,1),IF(B5&gt;MAX(MOEX!$A$2:$A$100),INDEX(MOEX!$B$2:$B$100,COUNT(MOEX!$B$2:$B$100)),IF(COUNTIF(MOEX!$A$2:$A$100,B5)&gt;0,INDEX(MOEX!$B$2:$B$100,MATCH(B5,MOEX!$A$2:$A$100,0)),D5+(B5-C5)*(F5-D5)/(E5-C5))))</f>
        <v>13.47</v>
      </c>
      <c r="H5" t="str">
        <f>IF(OR(B5&lt;MIN(MOEX!$A$2:$A$100),B5&gt;MAX(MOEX!$A$2:$A$100)),"Ближайшее значение",IF(COUNTIF(MOEX!$A$2:$A$100,B5)&gt;0,"Точное совпадение","Интерполяция"))</f>
        <v>Интерполяция</v>
      </c>
      <c r="I5">
        <f t="shared" si="0"/>
        <v>17.47</v>
      </c>
      <c r="J5">
        <f t="shared" si="1"/>
        <v>9.47</v>
      </c>
      <c r="K5">
        <f t="shared" si="2"/>
        <v>10.7524633497888</v>
      </c>
      <c r="L5">
        <f t="shared" si="3"/>
        <v>16.9509600960042</v>
      </c>
      <c r="M5">
        <f t="shared" si="4"/>
        <v>18.0225518069002</v>
      </c>
      <c r="N5" s="8">
        <f t="shared" si="5"/>
        <v>8.91744819309983</v>
      </c>
      <c r="P5" s="12" t="s">
        <v>20</v>
      </c>
      <c r="Q5" s="13">
        <v>4</v>
      </c>
      <c r="S5" s="11"/>
    </row>
    <row r="6" spans="1:19">
      <c r="A6" s="5">
        <v>5</v>
      </c>
      <c r="B6">
        <v>0.625</v>
      </c>
      <c r="C6">
        <f>IF(B6&lt;MIN(MOEX!$A$2:$A$100),MOEX!$A$2,INDEX(MOEX!$A$2:$A$100,MATCH(B6,MOEX!$A$2:$A$100,1)))</f>
        <v>0.5</v>
      </c>
      <c r="D6">
        <f>INDEX(MOEX!$B$2:$B$100,MATCH(C6,MOEX!$A$2:$A$100,0))</f>
        <v>13.35</v>
      </c>
      <c r="E6">
        <f>IFERROR(IF(B6&gt;=MAX(MOEX!$A$2:$A$100),MAX(MOEX!$A$2:$A$100),INDEX(MOEX!$A$2:$A$100,MATCH(B6,MOEX!$A$2:$A$100,1)+1)),"—")</f>
        <v>0.75</v>
      </c>
      <c r="F6">
        <f>IFERROR(INDEX(MOEX!$B$2:$B$100,MATCH(E6,MOEX!$A$2:$A$100,0)),"—")</f>
        <v>13.42</v>
      </c>
      <c r="G6">
        <f>IF(B6&lt;MIN(MOEX!$A$2:$A$100),INDEX(MOEX!$B$2:$B$100,1),IF(B6&gt;MAX(MOEX!$A$2:$A$100),INDEX(MOEX!$B$2:$B$100,COUNT(MOEX!$B$2:$B$100)),IF(COUNTIF(MOEX!$A$2:$A$100,B6)&gt;0,INDEX(MOEX!$B$2:$B$100,MATCH(B6,MOEX!$A$2:$A$100,0)),D6+(B6-C6)*(F6-D6)/(E6-C6))))</f>
        <v>13.385</v>
      </c>
      <c r="H6" t="str">
        <f>IF(OR(B6&lt;MIN(MOEX!$A$2:$A$100),B6&gt;MAX(MOEX!$A$2:$A$100)),"Ближайшее значение",IF(COUNTIF(MOEX!$A$2:$A$100,B6)&gt;0,"Точное совпадение","Интерполяция"))</f>
        <v>Интерполяция</v>
      </c>
      <c r="I6">
        <f t="shared" si="0"/>
        <v>17.385</v>
      </c>
      <c r="J6">
        <f t="shared" si="1"/>
        <v>9.385</v>
      </c>
      <c r="K6">
        <f t="shared" si="2"/>
        <v>10.9956953025208</v>
      </c>
      <c r="L6">
        <f t="shared" si="3"/>
        <v>16.5460028983831</v>
      </c>
      <c r="M6">
        <f t="shared" si="4"/>
        <v>17.6617266365371</v>
      </c>
      <c r="N6" s="8">
        <f t="shared" si="5"/>
        <v>9.10827336346289</v>
      </c>
      <c r="S6" s="11"/>
    </row>
    <row r="7" spans="1:19">
      <c r="A7" s="5">
        <v>6</v>
      </c>
      <c r="B7">
        <v>0.875</v>
      </c>
      <c r="C7">
        <f>IF(B7&lt;MIN(MOEX!$A$2:$A$100),MOEX!$A$2,INDEX(MOEX!$A$2:$A$100,MATCH(B7,MOEX!$A$2:$A$100,1)))</f>
        <v>0.75</v>
      </c>
      <c r="D7">
        <f>INDEX(MOEX!$B$2:$B$100,MATCH(C7,MOEX!$A$2:$A$100,0))</f>
        <v>13.42</v>
      </c>
      <c r="E7">
        <f>IFERROR(IF(B7&gt;=MAX(MOEX!$A$2:$A$100),MAX(MOEX!$A$2:$A$100),INDEX(MOEX!$A$2:$A$100,MATCH(B7,MOEX!$A$2:$A$100,1)+1)),"—")</f>
        <v>1</v>
      </c>
      <c r="F7">
        <f>IFERROR(INDEX(MOEX!$B$2:$B$100,MATCH(E7,MOEX!$A$2:$A$100,0)),"—")</f>
        <v>13.63</v>
      </c>
      <c r="G7">
        <f>IF(B7&lt;MIN(MOEX!$A$2:$A$100),INDEX(MOEX!$B$2:$B$100,1),IF(B7&gt;MAX(MOEX!$A$2:$A$100),INDEX(MOEX!$B$2:$B$100,COUNT(MOEX!$B$2:$B$100)),IF(COUNTIF(MOEX!$A$2:$A$100,B7)&gt;0,INDEX(MOEX!$B$2:$B$100,MATCH(B7,MOEX!$A$2:$A$100,0)),D7+(B7-C7)*(F7-D7)/(E7-C7))))</f>
        <v>13.525</v>
      </c>
      <c r="H7" t="str">
        <f>IF(OR(B7&lt;MIN(MOEX!$A$2:$A$100),B7&gt;MAX(MOEX!$A$2:$A$100)),"Ближайшее значение",IF(COUNTIF(MOEX!$A$2:$A$100,B7)&gt;0,"Точное совпадение","Интерполяция"))</f>
        <v>Интерполяция</v>
      </c>
      <c r="I7">
        <f t="shared" si="0"/>
        <v>17.525</v>
      </c>
      <c r="J7">
        <f t="shared" si="1"/>
        <v>9.525</v>
      </c>
      <c r="K7">
        <f t="shared" si="2"/>
        <v>11.4440406865501</v>
      </c>
      <c r="L7">
        <f t="shared" si="3"/>
        <v>16.3854309273966</v>
      </c>
      <c r="M7">
        <f t="shared" si="4"/>
        <v>17.5426128684453</v>
      </c>
      <c r="N7" s="8">
        <f t="shared" si="5"/>
        <v>9.5073871315547</v>
      </c>
      <c r="S7" s="11"/>
    </row>
    <row r="8" spans="1:19">
      <c r="A8" s="5">
        <v>7</v>
      </c>
      <c r="B8">
        <v>1.25</v>
      </c>
      <c r="C8">
        <f>IF(B8&lt;MIN(MOEX!$A$2:$A$100),MOEX!$A$2,INDEX(MOEX!$A$2:$A$100,MATCH(B8,MOEX!$A$2:$A$100,1)))</f>
        <v>1</v>
      </c>
      <c r="D8">
        <f>INDEX(MOEX!$B$2:$B$100,MATCH(C8,MOEX!$A$2:$A$100,0))</f>
        <v>13.63</v>
      </c>
      <c r="E8">
        <f>IFERROR(IF(B8&gt;=MAX(MOEX!$A$2:$A$100),MAX(MOEX!$A$2:$A$100),INDEX(MOEX!$A$2:$A$100,MATCH(B8,MOEX!$A$2:$A$100,1)+1)),"—")</f>
        <v>2</v>
      </c>
      <c r="F8">
        <f>IFERROR(INDEX(MOEX!$B$2:$B$100,MATCH(E8,MOEX!$A$2:$A$100,0)),"—")</f>
        <v>14.58</v>
      </c>
      <c r="G8">
        <f>IF(B8&lt;MIN(MOEX!$A$2:$A$100),INDEX(MOEX!$B$2:$B$100,1),IF(B8&gt;MAX(MOEX!$A$2:$A$100),INDEX(MOEX!$B$2:$B$100,COUNT(MOEX!$B$2:$B$100)),IF(COUNTIF(MOEX!$A$2:$A$100,B8)&gt;0,INDEX(MOEX!$B$2:$B$100,MATCH(B8,MOEX!$A$2:$A$100,0)),D8+(B8-C8)*(F8-D8)/(E8-C8))))</f>
        <v>13.8675</v>
      </c>
      <c r="H8" t="str">
        <f>IF(OR(B8&lt;MIN(MOEX!$A$2:$A$100),B8&gt;MAX(MOEX!$A$2:$A$100)),"Ближайшее значение",IF(COUNTIF(MOEX!$A$2:$A$100,B8)&gt;0,"Точное совпадение","Интерполяция"))</f>
        <v>Интерполяция</v>
      </c>
      <c r="I8">
        <f t="shared" si="0"/>
        <v>17.8675</v>
      </c>
      <c r="J8">
        <f t="shared" si="1"/>
        <v>9.8675</v>
      </c>
      <c r="K8">
        <f t="shared" si="2"/>
        <v>12.2143870077675</v>
      </c>
      <c r="L8">
        <f t="shared" si="3"/>
        <v>16.3108706478905</v>
      </c>
      <c r="M8">
        <f t="shared" si="4"/>
        <v>17.5255781447332</v>
      </c>
      <c r="N8" s="8">
        <f t="shared" si="5"/>
        <v>10.2094218552668</v>
      </c>
      <c r="S8" s="11"/>
    </row>
    <row r="9" spans="1:19">
      <c r="A9" s="5">
        <v>8</v>
      </c>
      <c r="B9">
        <v>1.75</v>
      </c>
      <c r="C9">
        <f>IF(B9&lt;MIN(MOEX!$A$2:$A$100),MOEX!$A$2,INDEX(MOEX!$A$2:$A$100,MATCH(B9,MOEX!$A$2:$A$100,1)))</f>
        <v>1</v>
      </c>
      <c r="D9">
        <f>INDEX(MOEX!$B$2:$B$100,MATCH(C9,MOEX!$A$2:$A$100,0))</f>
        <v>13.63</v>
      </c>
      <c r="E9">
        <f>IFERROR(IF(B9&gt;=MAX(MOEX!$A$2:$A$100),MAX(MOEX!$A$2:$A$100),INDEX(MOEX!$A$2:$A$100,MATCH(B9,MOEX!$A$2:$A$100,1)+1)),"—")</f>
        <v>2</v>
      </c>
      <c r="F9">
        <f>IFERROR(INDEX(MOEX!$B$2:$B$100,MATCH(E9,MOEX!$A$2:$A$100,0)),"—")</f>
        <v>14.58</v>
      </c>
      <c r="G9">
        <f>IF(B9&lt;MIN(MOEX!$A$2:$A$100),INDEX(MOEX!$B$2:$B$100,1),IF(B9&gt;MAX(MOEX!$A$2:$A$100),INDEX(MOEX!$B$2:$B$100,COUNT(MOEX!$B$2:$B$100)),IF(COUNTIF(MOEX!$A$2:$A$100,B9)&gt;0,INDEX(MOEX!$B$2:$B$100,MATCH(B9,MOEX!$A$2:$A$100,0)),D9+(B9-C9)*(F9-D9)/(E9-C9))))</f>
        <v>14.3425</v>
      </c>
      <c r="H9" t="str">
        <f>IF(OR(B9&lt;MIN(MOEX!$A$2:$A$100),B9&gt;MAX(MOEX!$A$2:$A$100)),"Ближайшее значение",IF(COUNTIF(MOEX!$A$2:$A$100,B9)&gt;0,"Точное совпадение","Интерполяция"))</f>
        <v>Интерполяция</v>
      </c>
      <c r="I9">
        <f t="shared" si="0"/>
        <v>18.3425</v>
      </c>
      <c r="J9">
        <f t="shared" si="1"/>
        <v>10.3425</v>
      </c>
      <c r="K9">
        <f t="shared" si="2"/>
        <v>13.200891267754</v>
      </c>
      <c r="L9">
        <f t="shared" si="3"/>
        <v>16.2872614532818</v>
      </c>
      <c r="M9">
        <f t="shared" si="4"/>
        <v>17.5707426321395</v>
      </c>
      <c r="N9" s="8">
        <f t="shared" si="5"/>
        <v>11.1142573678605</v>
      </c>
      <c r="S9" s="11"/>
    </row>
    <row r="10" spans="1:19">
      <c r="A10" s="5">
        <v>9</v>
      </c>
      <c r="B10">
        <v>2.5</v>
      </c>
      <c r="C10">
        <f>IF(B10&lt;MIN(MOEX!$A$2:$A$100),MOEX!$A$2,INDEX(MOEX!$A$2:$A$100,MATCH(B10,MOEX!$A$2:$A$100,1)))</f>
        <v>2</v>
      </c>
      <c r="D10">
        <f>INDEX(MOEX!$B$2:$B$100,MATCH(C10,MOEX!$A$2:$A$100,0))</f>
        <v>14.58</v>
      </c>
      <c r="E10">
        <f>IFERROR(IF(B10&gt;=MAX(MOEX!$A$2:$A$100),MAX(MOEX!$A$2:$A$100),INDEX(MOEX!$A$2:$A$100,MATCH(B10,MOEX!$A$2:$A$100,1)+1)),"—")</f>
        <v>3</v>
      </c>
      <c r="F10">
        <f>IFERROR(INDEX(MOEX!$B$2:$B$100,MATCH(E10,MOEX!$A$2:$A$100,0)),"—")</f>
        <v>15.06</v>
      </c>
      <c r="G10">
        <f>IF(B10&lt;MIN(MOEX!$A$2:$A$100),INDEX(MOEX!$B$2:$B$100,1),IF(B10&gt;MAX(MOEX!$A$2:$A$100),INDEX(MOEX!$B$2:$B$100,COUNT(MOEX!$B$2:$B$100)),IF(COUNTIF(MOEX!$A$2:$A$100,B10)&gt;0,INDEX(MOEX!$B$2:$B$100,MATCH(B10,MOEX!$A$2:$A$100,0)),D10+(B10-C10)*(F10-D10)/(E10-C10))))</f>
        <v>14.82</v>
      </c>
      <c r="H10" t="str">
        <f>IF(OR(B10&lt;MIN(MOEX!$A$2:$A$100),B10&gt;MAX(MOEX!$A$2:$A$100)),"Ближайшее значение",IF(COUNTIF(MOEX!$A$2:$A$100,B10)&gt;0,"Точное совпадение","Интерполяция"))</f>
        <v>Интерполяция</v>
      </c>
      <c r="I10">
        <f t="shared" si="0"/>
        <v>18.82</v>
      </c>
      <c r="J10">
        <f t="shared" si="1"/>
        <v>10.82</v>
      </c>
      <c r="K10">
        <f t="shared" si="2"/>
        <v>14.335194500312</v>
      </c>
      <c r="L10">
        <f t="shared" si="3"/>
        <v>16.1245162854101</v>
      </c>
      <c r="M10">
        <f t="shared" si="4"/>
        <v>17.496307142595</v>
      </c>
      <c r="N10" s="8">
        <f t="shared" si="5"/>
        <v>12.143692857405</v>
      </c>
      <c r="S10" s="11"/>
    </row>
    <row r="11" spans="1:19">
      <c r="A11" s="5">
        <v>10</v>
      </c>
      <c r="B11">
        <v>3.5</v>
      </c>
      <c r="C11">
        <f>IF(B11&lt;MIN(MOEX!$A$2:$A$100),MOEX!$A$2,INDEX(MOEX!$A$2:$A$100,MATCH(B11,MOEX!$A$2:$A$100,1)))</f>
        <v>3</v>
      </c>
      <c r="D11">
        <f>INDEX(MOEX!$B$2:$B$100,MATCH(C11,MOEX!$A$2:$A$100,0))</f>
        <v>15.06</v>
      </c>
      <c r="E11">
        <f>IFERROR(IF(B11&gt;=MAX(MOEX!$A$2:$A$100),MAX(MOEX!$A$2:$A$100),INDEX(MOEX!$A$2:$A$100,MATCH(B11,MOEX!$A$2:$A$100,1)+1)),"—")</f>
        <v>5</v>
      </c>
      <c r="F11">
        <f>IFERROR(INDEX(MOEX!$B$2:$B$100,MATCH(E11,MOEX!$A$2:$A$100,0)),"—")</f>
        <v>15.42</v>
      </c>
      <c r="G11">
        <f>IF(B11&lt;MIN(MOEX!$A$2:$A$100),INDEX(MOEX!$B$2:$B$100,1),IF(B11&gt;MAX(MOEX!$A$2:$A$100),INDEX(MOEX!$B$2:$B$100,COUNT(MOEX!$B$2:$B$100)),IF(COUNTIF(MOEX!$A$2:$A$100,B11)&gt;0,INDEX(MOEX!$B$2:$B$100,MATCH(B11,MOEX!$A$2:$A$100,0)),D11+(B11-C11)*(F11-D11)/(E11-C11))))</f>
        <v>15.15</v>
      </c>
      <c r="H11" t="str">
        <f>IF(OR(B11&lt;MIN(MOEX!$A$2:$A$100),B11&gt;MAX(MOEX!$A$2:$A$100)),"Ближайшее значение",IF(COUNTIF(MOEX!$A$2:$A$100,B11)&gt;0,"Точное совпадение","Интерполяция"))</f>
        <v>Интерполяция</v>
      </c>
      <c r="I11">
        <f t="shared" si="0"/>
        <v>19.15</v>
      </c>
      <c r="J11">
        <f t="shared" si="1"/>
        <v>11.15</v>
      </c>
      <c r="K11">
        <f t="shared" si="2"/>
        <v>15.3696709829129</v>
      </c>
      <c r="L11">
        <f t="shared" si="3"/>
        <v>15.7677997141353</v>
      </c>
      <c r="M11">
        <f t="shared" si="4"/>
        <v>17.2343100983925</v>
      </c>
      <c r="N11" s="8">
        <f t="shared" si="5"/>
        <v>13.0656899016075</v>
      </c>
      <c r="S11" s="11"/>
    </row>
    <row r="12" spans="1:19">
      <c r="A12" s="5">
        <v>11</v>
      </c>
      <c r="B12">
        <v>4.5</v>
      </c>
      <c r="C12">
        <f>IF(B12&lt;MIN(MOEX!$A$2:$A$100),MOEX!$A$2,INDEX(MOEX!$A$2:$A$100,MATCH(B12,MOEX!$A$2:$A$100,1)))</f>
        <v>3</v>
      </c>
      <c r="D12">
        <f>INDEX(MOEX!$B$2:$B$100,MATCH(C12,MOEX!$A$2:$A$100,0))</f>
        <v>15.06</v>
      </c>
      <c r="E12">
        <f>IFERROR(IF(B12&gt;=MAX(MOEX!$A$2:$A$100),MAX(MOEX!$A$2:$A$100),INDEX(MOEX!$A$2:$A$100,MATCH(B12,MOEX!$A$2:$A$100,1)+1)),"—")</f>
        <v>5</v>
      </c>
      <c r="F12">
        <f>IFERROR(INDEX(MOEX!$B$2:$B$100,MATCH(E12,MOEX!$A$2:$A$100,0)),"—")</f>
        <v>15.42</v>
      </c>
      <c r="G12">
        <f>IF(B12&lt;MIN(MOEX!$A$2:$A$100),INDEX(MOEX!$B$2:$B$100,1),IF(B12&gt;MAX(MOEX!$A$2:$A$100),INDEX(MOEX!$B$2:$B$100,COUNT(MOEX!$B$2:$B$100)),IF(COUNTIF(MOEX!$A$2:$A$100,B12)&gt;0,INDEX(MOEX!$B$2:$B$100,MATCH(B12,MOEX!$A$2:$A$100,0)),D12+(B12-C12)*(F12-D12)/(E12-C12))))</f>
        <v>15.33</v>
      </c>
      <c r="H12" t="str">
        <f>IF(OR(B12&lt;MIN(MOEX!$A$2:$A$100),B12&gt;MAX(MOEX!$A$2:$A$100)),"Ближайшее значение",IF(COUNTIF(MOEX!$A$2:$A$100,B12)&gt;0,"Точное совпадение","Интерполяция"))</f>
        <v>Интерполяция</v>
      </c>
      <c r="I12">
        <f t="shared" si="0"/>
        <v>19.33</v>
      </c>
      <c r="J12">
        <f t="shared" si="1"/>
        <v>11.33</v>
      </c>
      <c r="K12">
        <f t="shared" si="2"/>
        <v>16.0983178192178</v>
      </c>
      <c r="L12">
        <f t="shared" si="3"/>
        <v>15.4129843106784</v>
      </c>
      <c r="M12">
        <f t="shared" si="4"/>
        <v>16.9532623367917</v>
      </c>
      <c r="N12" s="8">
        <f t="shared" si="5"/>
        <v>13.7067376632083</v>
      </c>
      <c r="S12" s="11"/>
    </row>
    <row r="13" spans="1:19">
      <c r="A13" s="5">
        <v>12</v>
      </c>
      <c r="B13">
        <v>5.5</v>
      </c>
      <c r="C13">
        <f>IF(B13&lt;MIN(MOEX!$A$2:$A$100),MOEX!$A$2,INDEX(MOEX!$A$2:$A$100,MATCH(B13,MOEX!$A$2:$A$100,1)))</f>
        <v>5</v>
      </c>
      <c r="D13">
        <f>INDEX(MOEX!$B$2:$B$100,MATCH(C13,MOEX!$A$2:$A$100,0))</f>
        <v>15.42</v>
      </c>
      <c r="E13">
        <f>IFERROR(IF(B13&gt;=MAX(MOEX!$A$2:$A$100),MAX(MOEX!$A$2:$A$100),INDEX(MOEX!$A$2:$A$100,MATCH(B13,MOEX!$A$2:$A$100,1)+1)),"—")</f>
        <v>7</v>
      </c>
      <c r="F13">
        <f>IFERROR(INDEX(MOEX!$B$2:$B$100,MATCH(E13,MOEX!$A$2:$A$100,0)),"—")</f>
        <v>15.57</v>
      </c>
      <c r="G13">
        <f>IF(B13&lt;MIN(MOEX!$A$2:$A$100),INDEX(MOEX!$B$2:$B$100,1),IF(B13&gt;MAX(MOEX!$A$2:$A$100),INDEX(MOEX!$B$2:$B$100,COUNT(MOEX!$B$2:$B$100)),IF(COUNTIF(MOEX!$A$2:$A$100,B13)&gt;0,INDEX(MOEX!$B$2:$B$100,MATCH(B13,MOEX!$A$2:$A$100,0)),D13+(B13-C13)*(F13-D13)/(E13-C13))))</f>
        <v>15.4575</v>
      </c>
      <c r="H13" t="str">
        <f>IF(OR(B13&lt;MIN(MOEX!$A$2:$A$100),B13&gt;MAX(MOEX!$A$2:$A$100)),"Ближайшее значение",IF(COUNTIF(MOEX!$A$2:$A$100,B13)&gt;0,"Точное совпадение","Интерполяция"))</f>
        <v>Интерполяция</v>
      </c>
      <c r="I13">
        <f t="shared" si="0"/>
        <v>19.4575</v>
      </c>
      <c r="J13">
        <f t="shared" si="1"/>
        <v>11.4575</v>
      </c>
      <c r="K13">
        <f t="shared" si="2"/>
        <v>16.6531044049618</v>
      </c>
      <c r="L13">
        <f t="shared" si="3"/>
        <v>15.1239696556675</v>
      </c>
      <c r="M13">
        <f t="shared" si="4"/>
        <v>16.7216979790237</v>
      </c>
      <c r="N13" s="8">
        <f t="shared" si="5"/>
        <v>14.1933020209763</v>
      </c>
      <c r="S13" s="11"/>
    </row>
    <row r="14" spans="1:19">
      <c r="A14" s="5">
        <v>13</v>
      </c>
      <c r="B14">
        <v>6.5</v>
      </c>
      <c r="C14">
        <f>IF(B14&lt;MIN(MOEX!$A$2:$A$100),MOEX!$A$2,INDEX(MOEX!$A$2:$A$100,MATCH(B14,MOEX!$A$2:$A$100,1)))</f>
        <v>5</v>
      </c>
      <c r="D14">
        <f>INDEX(MOEX!$B$2:$B$100,MATCH(C14,MOEX!$A$2:$A$100,0))</f>
        <v>15.42</v>
      </c>
      <c r="E14">
        <f>IFERROR(IF(B14&gt;=MAX(MOEX!$A$2:$A$100),MAX(MOEX!$A$2:$A$100),INDEX(MOEX!$A$2:$A$100,MATCH(B14,MOEX!$A$2:$A$100,1)+1)),"—")</f>
        <v>7</v>
      </c>
      <c r="F14">
        <f>IFERROR(INDEX(MOEX!$B$2:$B$100,MATCH(E14,MOEX!$A$2:$A$100,0)),"—")</f>
        <v>15.57</v>
      </c>
      <c r="G14">
        <f>IF(B14&lt;MIN(MOEX!$A$2:$A$100),INDEX(MOEX!$B$2:$B$100,1),IF(B14&gt;MAX(MOEX!$A$2:$A$100),INDEX(MOEX!$B$2:$B$100,COUNT(MOEX!$B$2:$B$100)),IF(COUNTIF(MOEX!$A$2:$A$100,B14)&gt;0,INDEX(MOEX!$B$2:$B$100,MATCH(B14,MOEX!$A$2:$A$100,0)),D14+(B14-C14)*(F14-D14)/(E14-C14))))</f>
        <v>15.5325</v>
      </c>
      <c r="H14" t="str">
        <f>IF(OR(B14&lt;MIN(MOEX!$A$2:$A$100),B14&gt;MAX(MOEX!$A$2:$A$100)),"Ближайшее значение",IF(COUNTIF(MOEX!$A$2:$A$100,B14)&gt;0,"Точное совпадение","Интерполяция"))</f>
        <v>Интерполяция</v>
      </c>
      <c r="I14">
        <f t="shared" si="0"/>
        <v>19.5325</v>
      </c>
      <c r="J14">
        <f t="shared" si="1"/>
        <v>11.5325</v>
      </c>
      <c r="K14">
        <f t="shared" si="2"/>
        <v>17.060875532535</v>
      </c>
      <c r="L14">
        <f t="shared" si="3"/>
        <v>14.8745877161843</v>
      </c>
      <c r="M14">
        <f t="shared" si="4"/>
        <v>16.517058376021</v>
      </c>
      <c r="N14" s="8">
        <f t="shared" si="5"/>
        <v>14.547941623979</v>
      </c>
      <c r="S14" s="11"/>
    </row>
    <row r="15" spans="1:19">
      <c r="A15" s="5">
        <v>14</v>
      </c>
      <c r="B15">
        <v>7.5</v>
      </c>
      <c r="C15">
        <f>IF(B15&lt;MIN(MOEX!$A$2:$A$100),MOEX!$A$2,INDEX(MOEX!$A$2:$A$100,MATCH(B15,MOEX!$A$2:$A$100,1)))</f>
        <v>7</v>
      </c>
      <c r="D15">
        <f>INDEX(MOEX!$B$2:$B$100,MATCH(C15,MOEX!$A$2:$A$100,0))</f>
        <v>15.57</v>
      </c>
      <c r="E15">
        <f>IFERROR(IF(B15&gt;=MAX(MOEX!$A$2:$A$100),MAX(MOEX!$A$2:$A$100),INDEX(MOEX!$A$2:$A$100,MATCH(B15,MOEX!$A$2:$A$100,1)+1)),"—")</f>
        <v>10</v>
      </c>
      <c r="F15">
        <f>IFERROR(INDEX(MOEX!$B$2:$B$100,MATCH(E15,MOEX!$A$2:$A$100,0)),"—")</f>
        <v>15.69</v>
      </c>
      <c r="G15">
        <f>IF(B15&lt;MIN(MOEX!$A$2:$A$100),INDEX(MOEX!$B$2:$B$100,1),IF(B15&gt;MAX(MOEX!$A$2:$A$100),INDEX(MOEX!$B$2:$B$100,COUNT(MOEX!$B$2:$B$100)),IF(COUNTIF(MOEX!$A$2:$A$100,B15)&gt;0,INDEX(MOEX!$B$2:$B$100,MATCH(B15,MOEX!$A$2:$A$100,0)),D15+(B15-C15)*(F15-D15)/(E15-C15))))</f>
        <v>15.59</v>
      </c>
      <c r="H15" t="str">
        <f>IF(OR(B15&lt;MIN(MOEX!$A$2:$A$100),B15&gt;MAX(MOEX!$A$2:$A$100)),"Ближайшее значение",IF(COUNTIF(MOEX!$A$2:$A$100,B15)&gt;0,"Точное совпадение","Интерполяция"))</f>
        <v>Интерполяция</v>
      </c>
      <c r="I15">
        <f t="shared" si="0"/>
        <v>19.59</v>
      </c>
      <c r="J15">
        <f t="shared" si="1"/>
        <v>11.59</v>
      </c>
      <c r="K15">
        <f t="shared" si="2"/>
        <v>17.3775379472727</v>
      </c>
      <c r="L15">
        <f t="shared" si="3"/>
        <v>14.6794588077006</v>
      </c>
      <c r="M15">
        <f t="shared" si="4"/>
        <v>16.3567748342246</v>
      </c>
      <c r="N15" s="8">
        <f t="shared" si="5"/>
        <v>14.8232251657754</v>
      </c>
      <c r="S15" s="11"/>
    </row>
    <row r="16" spans="1:19">
      <c r="A16" s="5">
        <v>15</v>
      </c>
      <c r="B16">
        <v>8.5</v>
      </c>
      <c r="C16">
        <f>IF(B16&lt;MIN(MOEX!$A$2:$A$100),MOEX!$A$2,INDEX(MOEX!$A$2:$A$100,MATCH(B16,MOEX!$A$2:$A$100,1)))</f>
        <v>7</v>
      </c>
      <c r="D16">
        <f>INDEX(MOEX!$B$2:$B$100,MATCH(C16,MOEX!$A$2:$A$100,0))</f>
        <v>15.57</v>
      </c>
      <c r="E16">
        <f>IFERROR(IF(B16&gt;=MAX(MOEX!$A$2:$A$100),MAX(MOEX!$A$2:$A$100),INDEX(MOEX!$A$2:$A$100,MATCH(B16,MOEX!$A$2:$A$100,1)+1)),"—")</f>
        <v>10</v>
      </c>
      <c r="F16">
        <f>IFERROR(INDEX(MOEX!$B$2:$B$100,MATCH(E16,MOEX!$A$2:$A$100,0)),"—")</f>
        <v>15.69</v>
      </c>
      <c r="G16">
        <f>IF(B16&lt;MIN(MOEX!$A$2:$A$100),INDEX(MOEX!$B$2:$B$100,1),IF(B16&gt;MAX(MOEX!$A$2:$A$100),INDEX(MOEX!$B$2:$B$100,COUNT(MOEX!$B$2:$B$100)),IF(COUNTIF(MOEX!$A$2:$A$100,B16)&gt;0,INDEX(MOEX!$B$2:$B$100,MATCH(B16,MOEX!$A$2:$A$100,0)),D16+(B16-C16)*(F16-D16)/(E16-C16))))</f>
        <v>15.63</v>
      </c>
      <c r="H16" t="str">
        <f>IF(OR(B16&lt;MIN(MOEX!$A$2:$A$100),B16&gt;MAX(MOEX!$A$2:$A$100)),"Ближайшее значение",IF(COUNTIF(MOEX!$A$2:$A$100,B16)&gt;0,"Точное совпадение","Интерполяция"))</f>
        <v>Интерполяция</v>
      </c>
      <c r="I16">
        <f t="shared" si="0"/>
        <v>19.63</v>
      </c>
      <c r="J16">
        <f t="shared" si="1"/>
        <v>11.63</v>
      </c>
      <c r="K16">
        <f t="shared" si="2"/>
        <v>17.619373838813</v>
      </c>
      <c r="L16">
        <f t="shared" si="3"/>
        <v>14.522711215947</v>
      </c>
      <c r="M16">
        <f t="shared" si="4"/>
        <v>16.2271648413336</v>
      </c>
      <c r="N16" s="8">
        <f t="shared" si="5"/>
        <v>15.0328351586664</v>
      </c>
      <c r="S16" s="11"/>
    </row>
    <row r="17" spans="1:19">
      <c r="A17" s="5">
        <v>16</v>
      </c>
      <c r="B17">
        <v>9.5</v>
      </c>
      <c r="C17">
        <f>IF(B17&lt;MIN(MOEX!$A$2:$A$100),MOEX!$A$2,INDEX(MOEX!$A$2:$A$100,MATCH(B17,MOEX!$A$2:$A$100,1)))</f>
        <v>7</v>
      </c>
      <c r="D17">
        <f>INDEX(MOEX!$B$2:$B$100,MATCH(C17,MOEX!$A$2:$A$100,0))</f>
        <v>15.57</v>
      </c>
      <c r="E17">
        <f>IFERROR(IF(B17&gt;=MAX(MOEX!$A$2:$A$100),MAX(MOEX!$A$2:$A$100),INDEX(MOEX!$A$2:$A$100,MATCH(B17,MOEX!$A$2:$A$100,1)+1)),"—")</f>
        <v>10</v>
      </c>
      <c r="F17">
        <f>IFERROR(INDEX(MOEX!$B$2:$B$100,MATCH(E17,MOEX!$A$2:$A$100,0)),"—")</f>
        <v>15.69</v>
      </c>
      <c r="G17">
        <f>IF(B17&lt;MIN(MOEX!$A$2:$A$100),INDEX(MOEX!$B$2:$B$100,1),IF(B17&gt;MAX(MOEX!$A$2:$A$100),INDEX(MOEX!$B$2:$B$100,COUNT(MOEX!$B$2:$B$100)),IF(COUNTIF(MOEX!$A$2:$A$100,B17)&gt;0,INDEX(MOEX!$B$2:$B$100,MATCH(B17,MOEX!$A$2:$A$100,0)),D17+(B17-C17)*(F17-D17)/(E17-C17))))</f>
        <v>15.67</v>
      </c>
      <c r="H17" t="str">
        <f>IF(OR(B17&lt;MIN(MOEX!$A$2:$A$100),B17&gt;MAX(MOEX!$A$2:$A$100)),"Ближайшее значение",IF(COUNTIF(MOEX!$A$2:$A$100,B17)&gt;0,"Точное совпадение","Интерполяция"))</f>
        <v>Интерполяция</v>
      </c>
      <c r="I17">
        <f t="shared" si="0"/>
        <v>19.67</v>
      </c>
      <c r="J17">
        <f t="shared" si="1"/>
        <v>11.67</v>
      </c>
      <c r="K17">
        <f t="shared" si="2"/>
        <v>17.8165637891966</v>
      </c>
      <c r="L17">
        <f t="shared" si="3"/>
        <v>14.4094840374218</v>
      </c>
      <c r="M17">
        <f t="shared" si="4"/>
        <v>16.1350724460533</v>
      </c>
      <c r="N17" s="8">
        <f t="shared" si="5"/>
        <v>15.2049275539467</v>
      </c>
      <c r="S17" s="11"/>
    </row>
    <row r="18" spans="1:19">
      <c r="A18" s="5">
        <v>17</v>
      </c>
      <c r="B18">
        <v>12.5</v>
      </c>
      <c r="C18">
        <f>IF(B18&lt;MIN(MOEX!$A$2:$A$100),MOEX!$A$2,INDEX(MOEX!$A$2:$A$100,MATCH(B18,MOEX!$A$2:$A$100,1)))</f>
        <v>10</v>
      </c>
      <c r="D18">
        <f>INDEX(MOEX!$B$2:$B$100,MATCH(C18,MOEX!$A$2:$A$100,0))</f>
        <v>15.69</v>
      </c>
      <c r="E18">
        <f>IFERROR(IF(B18&gt;=MAX(MOEX!$A$2:$A$100),MAX(MOEX!$A$2:$A$100),INDEX(MOEX!$A$2:$A$100,MATCH(B18,MOEX!$A$2:$A$100,1)+1)),"—")</f>
        <v>15</v>
      </c>
      <c r="F18">
        <f>IFERROR(INDEX(MOEX!$B$2:$B$100,MATCH(E18,MOEX!$A$2:$A$100,0)),"—")</f>
        <v>15.84</v>
      </c>
      <c r="G18">
        <f>IF(B18&lt;MIN(MOEX!$A$2:$A$100),INDEX(MOEX!$B$2:$B$100,1),IF(B18&gt;MAX(MOEX!$A$2:$A$100),INDEX(MOEX!$B$2:$B$100,COUNT(MOEX!$B$2:$B$100)),IF(COUNTIF(MOEX!$A$2:$A$100,B18)&gt;0,INDEX(MOEX!$B$2:$B$100,MATCH(B18,MOEX!$A$2:$A$100,0)),D18+(B18-C18)*(F18-D18)/(E18-C18))))</f>
        <v>15.765</v>
      </c>
      <c r="H18" t="str">
        <f>IF(OR(B18&lt;MIN(MOEX!$A$2:$A$100),B18&gt;MAX(MOEX!$A$2:$A$100)),"Ближайшее значение",IF(COUNTIF(MOEX!$A$2:$A$100,B18)&gt;0,"Точное совпадение","Интерполяция"))</f>
        <v>Интерполяция</v>
      </c>
      <c r="I18">
        <f t="shared" si="0"/>
        <v>19.765</v>
      </c>
      <c r="J18">
        <f t="shared" si="1"/>
        <v>11.765</v>
      </c>
      <c r="K18">
        <f t="shared" si="2"/>
        <v>18.2035752449407</v>
      </c>
      <c r="L18">
        <f t="shared" si="3"/>
        <v>14.2198342150158</v>
      </c>
      <c r="M18">
        <f t="shared" si="4"/>
        <v>15.984684668117</v>
      </c>
      <c r="N18" s="8">
        <f t="shared" si="5"/>
        <v>15.545315331883</v>
      </c>
      <c r="S18" s="11"/>
    </row>
    <row r="19" spans="1:19">
      <c r="A19" s="5">
        <v>18</v>
      </c>
      <c r="B19">
        <v>17.5</v>
      </c>
      <c r="C19">
        <f>IF(B19&lt;MIN(MOEX!$A$2:$A$100),MOEX!$A$2,INDEX(MOEX!$A$2:$A$100,MATCH(B19,MOEX!$A$2:$A$100,1)))</f>
        <v>15</v>
      </c>
      <c r="D19">
        <f>INDEX(MOEX!$B$2:$B$100,MATCH(C19,MOEX!$A$2:$A$100,0))</f>
        <v>15.84</v>
      </c>
      <c r="E19">
        <f>IFERROR(IF(B19&gt;=MAX(MOEX!$A$2:$A$100),MAX(MOEX!$A$2:$A$100),INDEX(MOEX!$A$2:$A$100,MATCH(B19,MOEX!$A$2:$A$100,1)+1)),"—")</f>
        <v>20</v>
      </c>
      <c r="F19">
        <f>IFERROR(INDEX(MOEX!$B$2:$B$100,MATCH(E19,MOEX!$A$2:$A$100,0)),"—")</f>
        <v>15.95</v>
      </c>
      <c r="G19">
        <f>IF(B19&lt;MIN(MOEX!$A$2:$A$100),INDEX(MOEX!$B$2:$B$100,1),IF(B19&gt;MAX(MOEX!$A$2:$A$100),INDEX(MOEX!$B$2:$B$100,COUNT(MOEX!$B$2:$B$100)),IF(COUNTIF(MOEX!$A$2:$A$100,B19)&gt;0,INDEX(MOEX!$B$2:$B$100,MATCH(B19,MOEX!$A$2:$A$100,0)),D19+(B19-C19)*(F19-D19)/(E19-C19))))</f>
        <v>15.895</v>
      </c>
      <c r="H19" t="str">
        <f>IF(OR(B19&lt;MIN(MOEX!$A$2:$A$100),B19&gt;MAX(MOEX!$A$2:$A$100)),"Ближайшее значение",IF(COUNTIF(MOEX!$A$2:$A$100,B19)&gt;0,"Точное совпадение","Интерполяция"))</f>
        <v>Интерполяция</v>
      </c>
      <c r="I19">
        <f t="shared" si="0"/>
        <v>19.895</v>
      </c>
      <c r="J19">
        <f t="shared" si="1"/>
        <v>11.895</v>
      </c>
      <c r="K19">
        <f t="shared" si="2"/>
        <v>18.5201005536575</v>
      </c>
      <c r="L19">
        <f t="shared" si="3"/>
        <v>14.1680112250061</v>
      </c>
      <c r="M19">
        <f t="shared" si="4"/>
        <v>15.9579407112122</v>
      </c>
      <c r="N19" s="8">
        <f t="shared" si="5"/>
        <v>15.8320592887878</v>
      </c>
      <c r="S19" s="11"/>
    </row>
    <row r="20" spans="1:19">
      <c r="A20" s="14">
        <v>19</v>
      </c>
      <c r="B20" s="15">
        <v>25</v>
      </c>
      <c r="C20" s="15">
        <f>IF(B20&lt;MIN(MOEX!$A$2:$A$100),MOEX!$A$2,INDEX(MOEX!$A$2:$A$100,MATCH(B20,MOEX!$A$2:$A$100,1)))</f>
        <v>20</v>
      </c>
      <c r="D20" s="15">
        <f>INDEX(MOEX!$B$2:$B$100,MATCH(C20,MOEX!$A$2:$A$100,0))</f>
        <v>15.95</v>
      </c>
      <c r="E20" s="15">
        <f>IFERROR(IF(B20&gt;=MAX(MOEX!$A$2:$A$100),MAX(MOEX!$A$2:$A$100),INDEX(MOEX!$A$2:$A$100,MATCH(B20,MOEX!$A$2:$A$100,1)+1)),"—")</f>
        <v>30</v>
      </c>
      <c r="F20" s="15">
        <f>IFERROR(INDEX(MOEX!$B$2:$B$100,MATCH(E20,MOEX!$A$2:$A$100,0)),"—")</f>
        <v>16.1</v>
      </c>
      <c r="G20" s="15">
        <f>IF(B20&lt;MIN(MOEX!$A$2:$A$100),INDEX(MOEX!$B$2:$B$100,1),IF(B20&gt;MAX(MOEX!$A$2:$A$100),INDEX(MOEX!$B$2:$B$100,COUNT(MOEX!$B$2:$B$100)),IF(COUNTIF(MOEX!$A$2:$A$100,B20)&gt;0,INDEX(MOEX!$B$2:$B$100,MATCH(B20,MOEX!$A$2:$A$100,0)),D20+(B20-C20)*(F20-D20)/(E20-C20))))</f>
        <v>16.025</v>
      </c>
      <c r="H20" s="15" t="str">
        <f>IF(OR(B20&lt;MIN(MOEX!$A$2:$A$100),B20&gt;MAX(MOEX!$A$2:$A$100)),"Ближайшее значение",IF(COUNTIF(MOEX!$A$2:$A$100,B20)&gt;0,"Точное совпадение","Интерполяция"))</f>
        <v>Интерполяция</v>
      </c>
      <c r="I20" s="15">
        <f t="shared" si="0"/>
        <v>20.025</v>
      </c>
      <c r="J20" s="15">
        <f t="shared" si="1"/>
        <v>12.025</v>
      </c>
      <c r="K20" s="15">
        <f t="shared" si="2"/>
        <v>18.7135137978894</v>
      </c>
      <c r="L20" s="15">
        <f t="shared" si="3"/>
        <v>14.2361966339901</v>
      </c>
      <c r="M20" s="15">
        <f t="shared" si="4"/>
        <v>16.0346522706811</v>
      </c>
      <c r="N20" s="16">
        <f t="shared" si="5"/>
        <v>16.0153477293189</v>
      </c>
      <c r="S20" s="11"/>
    </row>
    <row r="21" spans="1:19">
      <c r="S21" s="17"/>
    </row>
    <row r="23" spans="1:19">
      <c r="B23" s="6"/>
      <c r="C23" s="21" t="s">
        <v>21</v>
      </c>
    </row>
    <row r="24" spans="1:19">
      <c r="B24" s="18"/>
      <c r="C24" s="19" t="s">
        <v>22</v>
      </c>
    </row>
  </sheetData>
  <conditionalFormatting sqref="H2:H20">
    <cfRule type="cellIs" dxfId="0" priority="2" operator="equal">
      <formula>"Базовое Значение"</formula>
    </cfRule>
    <cfRule type="cellIs" dxfId="1" priority="3" operator="equal">
      <formula>"Интерполяция"</formula>
    </cfRule>
    <cfRule type="cellIs" dxfId="2" priority="4" operator="equal">
      <formula>"Экстраполяция"</formula>
    </cfRule>
    <cfRule type="expression" dxfId="3" priority="4">
      <formula>$H2="Ближайшее значение"</formula>
    </cfRule>
    <cfRule type="expression" dxfId="4" priority="5">
      <formula>$H2="Интерполяция"</formula>
    </cfRule>
    <cfRule type="expression" dxfId="5" priority="6">
      <formula>$H2="Экстраполяция"</formula>
    </cfRule>
  </conditionalFormatting>
  <pageMargins left="0.7875" right="0.7875" top="1.05277777777778" bottom="1.05277777777778" header="0.7875" footer="0.7875"/>
  <pageSetup paperSize="9" orientation="portrait" horizontalDpi="300" verticalDpi="300"/>
  <headerFooter>
    <oddHeader>&amp;C&amp;"Times New Roman,Regular"&amp;12 &amp;Kffffff&amp;A</oddHeader>
    <oddFooter>&amp;C&amp;"Times New Roman,Regular"&amp;12 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MOEX</vt:lpstr>
      <vt:lpstr>базовая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Astrages</cp:lastModifiedBy>
  <cp:revision>2</cp:revision>
  <dcterms:created xsi:type="dcterms:W3CDTF">2026-10-08T19:07:00Z</dcterms:created>
  <dcterms:modified xsi:type="dcterms:W3CDTF">2026-10-09T21:25:25Z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8FA2BC1FB0534043926FBFF4C1BB23C8_13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