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500" tabRatio="500"/>
  </bookViews>
  <sheets>
    <sheet name="MOEX" sheetId="1" r:id="rId1"/>
    <sheet name="базова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<sst xmlns="http://schemas.openxmlformats.org/spreadsheetml/2006/main" count="21" uniqueCount="21">
  <si>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Срок, лет</t>
  </si>
  <si>
    <t>Доходность, %</t>
  </si>
  <si>
    <t>№</t>
  </si>
  <si>
    <t>Т, лет</t>
  </si>
  <si>
    <t>Нижний срок MOEX</t>
  </si>
  <si>
    <t>Нижняя ставка, %</t>
  </si>
  <si>
    <t>Верхний срок MOEX</t>
  </si>
  <si>
    <t>Верхняя ставка, %</t>
  </si>
  <si>
    <t>БС, %</t>
  </si>
  <si>
    <t>Метод</t>
  </si>
  <si>
    <t>Сдвиг вверх, %</t>
  </si>
  <si>
    <t>Сдвиг вниз %</t>
  </si>
  <si>
    <t>Увеличение наклона, %</t>
  </si>
  <si>
    <t>Уменьшение наклона, %</t>
  </si>
  <si>
    <t>Рост коротких, %</t>
  </si>
  <si>
    <t>Снижение коротких, %</t>
  </si>
  <si>
    <t>Параметры рубля</t>
  </si>
  <si>
    <t>ΔПар</t>
  </si>
  <si>
    <t>СКС</t>
  </si>
  <si>
    <t>СДС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</si>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</sst>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₽&quot;* #,##0.00_-;\-&quot;₽&quot;* #,##0.00_-;_-&quot;₽&quot;* &quot;-&quot;??_-;_-@_-"/>
    <numFmt numFmtId="177" formatCode="_-* #,##0_-;\-&quot;₽&quot;* #,##0_-;_-&quot;₽&quot;* &quot;-&quot;_-;_-@_-"/>
  </numFmts>
  <fonts count="23">
    <font>
      <sz val="11"/>
      <color theme="1"/>
      <name val="Calibri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77BC65"/>
        <bgColor rgb="FF99CC00"/>
      </patternFill>
    </fill>
    <fill>
      <patternFill patternType="solid">
        <fgColor rgb="FF729FCF"/>
        <bgColor rgb="FF808080"/>
      </patternFill>
    </fill>
    <fill>
      <patternFill patternType="solid">
        <fgColor rgb="FFFFB66C"/>
        <bgColor rgb="FFFF99CC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3" fillId="0" borderId="0" applyBorder="0" applyAlignment="0" applyProtection="0"/>
    <xf numFmtId="176" fontId="3" fillId="0" borderId="0" applyBorder="0" applyAlignment="0" applyProtection="0"/>
    <xf numFmtId="9" fontId="3" fillId="0" borderId="0" applyBorder="0" applyAlignment="0" applyProtection="0"/>
    <xf numFmtId="41" fontId="3" fillId="0" borderId="0" applyBorder="0" applyAlignment="0" applyProtection="0"/>
    <xf numFmtId="177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33" borderId="0" applyBorder="0" applyProtection="0"/>
    <xf numFmtId="0" fontId="0" fillId="34" borderId="0" applyBorder="0" applyProtection="0"/>
    <xf numFmtId="0" fontId="0" fillId="35" borderId="0" applyBorder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2" fillId="0" borderId="0" xfId="0" applyFont="1" applyFill="1" applyAlignment="1">
      <alignment vertical="center"/>
    </xf>
  </cellXfs>
  <cellStyles count="52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Untitled1" xfId="49"/>
    <cellStyle name="Untitled2" xfId="50"/>
    <cellStyle name="Untitled3" xfId="51"/>
  </cellStyles>
  <dxfs count="20">
    <dxf>
      <font>
        <name val="Calibri"/>
        <scheme val="none"/>
        <charset val="1"/>
        <family val="2"/>
        <sz val="11"/>
        <color rgb="FF000000"/>
      </font>
      <fill>
        <patternFill patternType="solid">
          <bgColor rgb="FF77BC65"/>
        </patternFill>
      </fill>
    </dxf>
    <dxf>
      <font>
        <name val="Calibri"/>
        <scheme val="none"/>
        <charset val="1"/>
        <family val="2"/>
        <sz val="11"/>
        <color rgb="FF000000"/>
      </font>
      <fill>
        <patternFill patternType="solid">
          <bgColor rgb="FF729FCF"/>
        </patternFill>
      </fill>
    </dxf>
    <dxf>
      <font>
        <name val="Calibri"/>
        <scheme val="none"/>
        <charset val="1"/>
        <family val="2"/>
        <sz val="11"/>
        <color rgb="FF000000"/>
      </font>
      <fill>
        <patternFill patternType="solid">
          <bgColor rgb="FFFFB66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729FC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B66C"/>
      <rgbColor rgb="003366FF"/>
      <rgbColor rgb="0033CCCC"/>
      <rgbColor rgb="0099CC00"/>
      <rgbColor rgb="00FFCC00"/>
      <rgbColor rgb="00FF9900"/>
      <rgbColor rgb="00FF6600"/>
      <rgbColor rgb="00666699"/>
      <rgbColor rgb="0077BC65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zoomScale="78" zoomScaleNormal="78" workbookViewId="0">
      <selection activeCell="F12" sqref="F12"/>
    </sheetView>
  </sheetViews>
  <sheetFormatPr defaultColWidth="10.1574074074074" defaultRowHeight="14.4" outlineLevelCol="1"/>
  <sheetData>
    <row r="1" spans="1:2">
      <c r="A1" t="s">
        <v>0</v>
      </c>
      <c r="B1" t="s">
        <v>1</v>
      </c>
    </row>
    <row r="2" spans="1:2">
      <c r="A2">
        <v>0.25</v>
      </c>
      <c r="B2" s="13">
        <v>13.59</v>
      </c>
    </row>
    <row r="3" spans="1:2">
      <c r="A3">
        <v>0.5</v>
      </c>
      <c r="B3" s="13">
        <v>13.35</v>
      </c>
    </row>
    <row r="4" spans="1:2">
      <c r="A4">
        <v>0.75</v>
      </c>
      <c r="B4" s="13">
        <v>13.42</v>
      </c>
    </row>
    <row r="5" spans="1:2">
      <c r="A5">
        <v>1</v>
      </c>
      <c r="B5" s="13">
        <v>13.63</v>
      </c>
    </row>
    <row r="6" spans="1:2">
      <c r="A6">
        <v>2</v>
      </c>
      <c r="B6" s="13">
        <v>14.58</v>
      </c>
    </row>
    <row r="7" spans="1:2">
      <c r="A7">
        <v>3</v>
      </c>
      <c r="B7" s="13">
        <v>15.06</v>
      </c>
    </row>
    <row r="8" spans="1:2">
      <c r="A8">
        <v>5</v>
      </c>
      <c r="B8" s="13">
        <v>15.42</v>
      </c>
    </row>
    <row r="9" spans="1:2">
      <c r="A9">
        <v>7</v>
      </c>
      <c r="B9" s="13">
        <v>15.57</v>
      </c>
    </row>
    <row r="10" spans="1:2">
      <c r="A10">
        <v>10</v>
      </c>
      <c r="B10" s="13">
        <v>15.69</v>
      </c>
    </row>
    <row r="11" spans="1:2">
      <c r="A11">
        <v>15</v>
      </c>
      <c r="B11" s="13">
        <v>15.84</v>
      </c>
    </row>
    <row r="12" spans="1:2">
      <c r="A12">
        <v>20</v>
      </c>
      <c r="B12" s="13">
        <v>15.95</v>
      </c>
    </row>
    <row r="13" spans="1:2">
      <c r="A13">
        <v>30</v>
      </c>
      <c r="B13" s="13">
        <v>16.1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zoomScale="78" zoomScaleNormal="78" workbookViewId="0">
      <selection activeCell="N26" sqref="N26"/>
    </sheetView>
  </sheetViews>
  <sheetFormatPr defaultColWidth="10.1574074074074" defaultRowHeight="14.4"/>
  <cols>
    <col min="3" max="3" width="19.8981481481481" customWidth="1"/>
    <col min="4" max="4" width="17.0925925925926" customWidth="1"/>
    <col min="5" max="5" width="17.9814814814815" customWidth="1"/>
    <col min="6" max="6" width="16.6296296296296" customWidth="1"/>
    <col min="8" max="8" width="18.6018518518519" customWidth="1"/>
    <col min="9" max="9" width="13.9907407407407" customWidth="1"/>
    <col min="10" max="10" width="12.2037037037037" customWidth="1"/>
    <col min="11" max="11" width="21.8055555555556" customWidth="1"/>
    <col min="12" max="12" width="22.3240740740741" customWidth="1"/>
    <col min="13" max="13" width="15.5092592592593" customWidth="1"/>
    <col min="14" max="14" width="20.3518518518519" customWidth="1"/>
  </cols>
  <sheetData>
    <row r="1" ht="28.8" spans="1:17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3" t="s">
        <v>15</v>
      </c>
      <c r="P1" s="1" t="s">
        <v>16</v>
      </c>
      <c r="Q1" s="3"/>
    </row>
    <row r="2" spans="1:17">
      <c r="A2" s="4">
        <v>1</v>
      </c>
      <c r="B2">
        <v>0.0028</v>
      </c>
      <c r="C2">
        <f>IF(B2&lt;MIN(MOEX!$A$2:$A$100),MOEX!$A$2,INDEX(MOEX!$A$2:$A$100,MATCH(B2,MOEX!$A$2:$A$100,1)))</f>
        <v>0.25</v>
      </c>
      <c r="D2">
        <f>INDEX(MOEX!$B$2:$B$100,MATCH(C2,MOEX!$A$2:$A$100,0))</f>
        <v>13.59</v>
      </c>
      <c r="E2" t="e">
        <f>IF(B2&gt;=MAX(MOEX!$A$2:$A$100),MAX(MOEX!$A$2:$A$100),INDEX(MOEX!$A$2:$A$100,MATCH(B2,MOEX!$A$2:$A$100,1)+1))</f>
        <v>#N/A</v>
      </c>
      <c r="F2" t="e">
        <f>INDEX(MOEX!$B$2:$B$100,MATCH(E2,MOEX!$A$2:$A$100,0))</f>
        <v>#N/A</v>
      </c>
      <c r="G2">
        <f>IF(B2&lt;MIN(MOEX!$A$2:$A$100),INDEX(MOEX!$B$2:$B$100,1),IF(B2&gt;MAX(MOEX!$A$2:$A$100),INDEX(MOEX!$B$2:$B$100,COUNT(MOEX!$B$2:$B$100)),IF(COUNTIF(MOEX!$A$2:$A$100,B2)&gt;0,INDEX(MOEX!$B$2:$B$100,MATCH(B2,MOEX!$A$2:$A$100,0)),D2+(B2-C2)*(F2-D2)/(E2-C2))))</f>
        <v>13.59</v>
      </c>
      <c r="H2" t="str">
        <f>IF(OR(B2&lt;MIN(MOEX!$A$2:$A$100),B2&gt;MAX(MOEX!$A$2:$A$100)),"Ближайшее значение",IF(COUNTIF(MOEX!$A$2:$A$100,B2)&gt;0,"Точное совпадение","Интерполяция"))</f>
        <v>Ближайшее значение</v>
      </c>
      <c r="I2">
        <f t="shared" ref="I2:I20" si="0">G2+$Q$2</f>
        <v>17.59</v>
      </c>
      <c r="J2">
        <f t="shared" ref="J2:J20" si="1">G2-$Q$2</f>
        <v>9.59</v>
      </c>
      <c r="K2">
        <f t="shared" ref="K2:K20" si="2">G2-0.65*$Q$3*EXP(-B2/$Q$5)+0.9*$Q$4*(1-EXP(-B2/$Q$5))</f>
        <v>10.3441635425901</v>
      </c>
      <c r="L2">
        <f t="shared" ref="L2:L20" si="3">G2+0.8*$Q$3*EXP(-B2/$Q$5)-0.6*$Q$4*(1-EXP(-B2/$Q$5))</f>
        <v>17.5859414206685</v>
      </c>
      <c r="M2">
        <f t="shared" ref="M2:M20" si="4">G2+$Q$3*EXP(-B2/$Q$5)</f>
        <v>18.5865012247142</v>
      </c>
      <c r="N2" s="5">
        <f t="shared" ref="N2:N20" si="5">G2-$Q$3*EXP(-B2/$Q$5)</f>
        <v>8.59349877528578</v>
      </c>
      <c r="P2" s="6" t="s">
        <v>17</v>
      </c>
      <c r="Q2" s="7">
        <v>4</v>
      </c>
    </row>
    <row r="3" spans="1:17">
      <c r="A3" s="4">
        <v>2</v>
      </c>
      <c r="B3">
        <v>0.0417</v>
      </c>
      <c r="C3">
        <f>IF(B3&lt;MIN(MOEX!$A$2:$A$100),MOEX!$A$2,INDEX(MOEX!$A$2:$A$100,MATCH(B3,MOEX!$A$2:$A$100,1)))</f>
        <v>0.25</v>
      </c>
      <c r="D3">
        <f>INDEX(MOEX!$B$2:$B$100,MATCH(C3,MOEX!$A$2:$A$100,0))</f>
        <v>13.59</v>
      </c>
      <c r="E3" t="e">
        <f>IF(B3&gt;=MAX(MOEX!$A$2:$A$100),MAX(MOEX!$A$2:$A$100),INDEX(MOEX!$A$2:$A$100,MATCH(B3,MOEX!$A$2:$A$100,1)+1))</f>
        <v>#N/A</v>
      </c>
      <c r="F3" t="e">
        <f>INDEX(MOEX!$B$2:$B$100,MATCH(E3,MOEX!$A$2:$A$100,0))</f>
        <v>#N/A</v>
      </c>
      <c r="G3">
        <f>IF(B3&lt;MIN(MOEX!$A$2:$A$100),INDEX(MOEX!$B$2:$B$100,1),IF(B3&gt;MAX(MOEX!$A$2:$A$100),INDEX(MOEX!$B$2:$B$100,COUNT(MOEX!$B$2:$B$100)),IF(COUNTIF(MOEX!$A$2:$A$100,B3)&gt;0,INDEX(MOEX!$B$2:$B$100,MATCH(B3,MOEX!$A$2:$A$100,0)),D3+(B3-C3)*(F3-D3)/(E3-C3))))</f>
        <v>13.59</v>
      </c>
      <c r="H3" t="str">
        <f>IF(OR(B3&lt;MIN(MOEX!$A$2:$A$100),B3&gt;MAX(MOEX!$A$2:$A$100)),"Ближайшее значение",IF(COUNTIF(MOEX!$A$2:$A$100,B3)&gt;0,"Точное совпадение","Интерполяция"))</f>
        <v>Ближайшее значение</v>
      </c>
      <c r="I3">
        <f t="shared" si="0"/>
        <v>17.59</v>
      </c>
      <c r="J3">
        <f t="shared" si="1"/>
        <v>9.59</v>
      </c>
      <c r="K3">
        <f t="shared" si="2"/>
        <v>10.4017065457723</v>
      </c>
      <c r="L3">
        <f t="shared" si="3"/>
        <v>17.529849081432</v>
      </c>
      <c r="M3">
        <f t="shared" si="4"/>
        <v>18.5381457598552</v>
      </c>
      <c r="N3" s="5">
        <f t="shared" si="5"/>
        <v>8.64185424014483</v>
      </c>
      <c r="P3" s="6" t="s">
        <v>18</v>
      </c>
      <c r="Q3" s="7">
        <v>5</v>
      </c>
    </row>
    <row r="4" spans="1:17">
      <c r="A4" s="4">
        <v>3</v>
      </c>
      <c r="B4">
        <v>0.1667</v>
      </c>
      <c r="C4">
        <f>IF(B4&lt;MIN(MOEX!$A$2:$A$100),MOEX!$A$2,INDEX(MOEX!$A$2:$A$100,MATCH(B4,MOEX!$A$2:$A$100,1)))</f>
        <v>0.25</v>
      </c>
      <c r="D4">
        <f>INDEX(MOEX!$B$2:$B$100,MATCH(C4,MOEX!$A$2:$A$100,0))</f>
        <v>13.59</v>
      </c>
      <c r="E4" t="e">
        <f>IF(B4&gt;=MAX(MOEX!$A$2:$A$100),MAX(MOEX!$A$2:$A$100),INDEX(MOEX!$A$2:$A$100,MATCH(B4,MOEX!$A$2:$A$100,1)+1))</f>
        <v>#N/A</v>
      </c>
      <c r="F4" t="e">
        <f>INDEX(MOEX!$B$2:$B$100,MATCH(E4,MOEX!$A$2:$A$100,0))</f>
        <v>#N/A</v>
      </c>
      <c r="G4">
        <f>IF(B4&lt;MIN(MOEX!$A$2:$A$100),INDEX(MOEX!$B$2:$B$100,1),IF(B4&gt;MAX(MOEX!$A$2:$A$100),INDEX(MOEX!$B$2:$B$100,COUNT(MOEX!$B$2:$B$100)),IF(COUNTIF(MOEX!$A$2:$A$100,B4)&gt;0,INDEX(MOEX!$B$2:$B$100,MATCH(B4,MOEX!$A$2:$A$100,0)),D4+(B4-C4)*(F4-D4)/(E4-C4))))</f>
        <v>13.59</v>
      </c>
      <c r="H4" t="str">
        <f>IF(OR(B4&lt;MIN(MOEX!$A$2:$A$100),B4&gt;MAX(MOEX!$A$2:$A$100)),"Ближайшее значение",IF(COUNTIF(MOEX!$A$2:$A$100,B4)&gt;0,"Точное совпадение","Интерполяция"))</f>
        <v>Ближайшее значение</v>
      </c>
      <c r="I4">
        <f t="shared" si="0"/>
        <v>17.59</v>
      </c>
      <c r="J4">
        <f t="shared" si="1"/>
        <v>9.59</v>
      </c>
      <c r="K4">
        <f t="shared" si="2"/>
        <v>10.582870289813</v>
      </c>
      <c r="L4">
        <f t="shared" si="3"/>
        <v>17.3532524906024</v>
      </c>
      <c r="M4">
        <f t="shared" si="4"/>
        <v>18.3859073194848</v>
      </c>
      <c r="N4" s="5">
        <f t="shared" si="5"/>
        <v>8.79409268051516</v>
      </c>
      <c r="P4" s="6" t="s">
        <v>19</v>
      </c>
      <c r="Q4" s="7">
        <v>3</v>
      </c>
    </row>
    <row r="5" spans="1:17">
      <c r="A5" s="4">
        <v>4</v>
      </c>
      <c r="B5">
        <v>0.375</v>
      </c>
      <c r="C5">
        <f>IF(B5&lt;MIN(MOEX!$A$2:$A$100),MOEX!$A$2,INDEX(MOEX!$A$2:$A$100,MATCH(B5,MOEX!$A$2:$A$100,1)))</f>
        <v>0.25</v>
      </c>
      <c r="D5">
        <f>INDEX(MOEX!$B$2:$B$100,MATCH(C5,MOEX!$A$2:$A$100,0))</f>
        <v>13.59</v>
      </c>
      <c r="E5">
        <f>IF(B5&gt;=MAX(MOEX!$A$2:$A$100),MAX(MOEX!$A$2:$A$100),INDEX(MOEX!$A$2:$A$100,MATCH(B5,MOEX!$A$2:$A$100,1)+1))</f>
        <v>0.5</v>
      </c>
      <c r="F5">
        <f>INDEX(MOEX!$B$2:$B$100,MATCH(E5,MOEX!$A$2:$A$100,0))</f>
        <v>13.35</v>
      </c>
      <c r="G5">
        <f>IF(B5&lt;MIN(MOEX!$A$2:$A$100),INDEX(MOEX!$B$2:$B$100,1),IF(B5&gt;MAX(MOEX!$A$2:$A$100),INDEX(MOEX!$B$2:$B$100,COUNT(MOEX!$B$2:$B$100)),IF(COUNTIF(MOEX!$A$2:$A$100,B5)&gt;0,INDEX(MOEX!$B$2:$B$100,MATCH(B5,MOEX!$A$2:$A$100,0)),D5+(B5-C5)*(F5-D5)/(E5-C5))))</f>
        <v>13.47</v>
      </c>
      <c r="H5" t="str">
        <f>IF(OR(B5&lt;MIN(MOEX!$A$2:$A$100),B5&gt;MAX(MOEX!$A$2:$A$100)),"Ближайшее значение",IF(COUNTIF(MOEX!$A$2:$A$100,B5)&gt;0,"Точное совпадение","Интерполяция"))</f>
        <v>Интерполяция</v>
      </c>
      <c r="I5">
        <f t="shared" si="0"/>
        <v>17.47</v>
      </c>
      <c r="J5">
        <f t="shared" si="1"/>
        <v>9.47</v>
      </c>
      <c r="K5">
        <f t="shared" si="2"/>
        <v>10.7524633497888</v>
      </c>
      <c r="L5">
        <f t="shared" si="3"/>
        <v>16.9509600960042</v>
      </c>
      <c r="M5">
        <f t="shared" si="4"/>
        <v>18.0225518069002</v>
      </c>
      <c r="N5" s="5">
        <f t="shared" si="5"/>
        <v>8.91744819309983</v>
      </c>
      <c r="P5" s="8" t="s">
        <v>20</v>
      </c>
      <c r="Q5" s="9">
        <v>4</v>
      </c>
    </row>
    <row r="6" spans="1:17">
      <c r="A6" s="4">
        <v>5</v>
      </c>
      <c r="B6">
        <v>0.625</v>
      </c>
      <c r="C6">
        <f>IF(B6&lt;MIN(MOEX!$A$2:$A$100),MOEX!$A$2,INDEX(MOEX!$A$2:$A$100,MATCH(B6,MOEX!$A$2:$A$100,1)))</f>
        <v>0.5</v>
      </c>
      <c r="D6">
        <f>INDEX(MOEX!$B$2:$B$100,MATCH(C6,MOEX!$A$2:$A$100,0))</f>
        <v>13.35</v>
      </c>
      <c r="E6">
        <f>IF(B6&gt;=MAX(MOEX!$A$2:$A$100),MAX(MOEX!$A$2:$A$100),INDEX(MOEX!$A$2:$A$100,MATCH(B6,MOEX!$A$2:$A$100,1)+1))</f>
        <v>0.75</v>
      </c>
      <c r="F6">
        <f>INDEX(MOEX!$B$2:$B$100,MATCH(E6,MOEX!$A$2:$A$100,0))</f>
        <v>13.42</v>
      </c>
      <c r="G6">
        <f>IF(B6&lt;MIN(MOEX!$A$2:$A$100),INDEX(MOEX!$B$2:$B$100,1),IF(B6&gt;MAX(MOEX!$A$2:$A$100),INDEX(MOEX!$B$2:$B$100,COUNT(MOEX!$B$2:$B$100)),IF(COUNTIF(MOEX!$A$2:$A$100,B6)&gt;0,INDEX(MOEX!$B$2:$B$100,MATCH(B6,MOEX!$A$2:$A$100,0)),D6+(B6-C6)*(F6-D6)/(E6-C6))))</f>
        <v>13.385</v>
      </c>
      <c r="H6" t="str">
        <f>IF(OR(B6&lt;MIN(MOEX!$A$2:$A$100),B6&gt;MAX(MOEX!$A$2:$A$100)),"Ближайшее значение",IF(COUNTIF(MOEX!$A$2:$A$100,B6)&gt;0,"Точное совпадение","Интерполяция"))</f>
        <v>Интерполяция</v>
      </c>
      <c r="I6">
        <f t="shared" si="0"/>
        <v>17.385</v>
      </c>
      <c r="J6">
        <f t="shared" si="1"/>
        <v>9.385</v>
      </c>
      <c r="K6">
        <f t="shared" si="2"/>
        <v>10.9956953025208</v>
      </c>
      <c r="L6">
        <f t="shared" si="3"/>
        <v>16.5460028983831</v>
      </c>
      <c r="M6">
        <f t="shared" si="4"/>
        <v>17.6617266365371</v>
      </c>
      <c r="N6" s="5">
        <f t="shared" si="5"/>
        <v>9.10827336346289</v>
      </c>
    </row>
    <row r="7" spans="1:17">
      <c r="A7" s="4">
        <v>6</v>
      </c>
      <c r="B7">
        <v>0.875</v>
      </c>
      <c r="C7">
        <f>IF(B7&lt;MIN(MOEX!$A$2:$A$100),MOEX!$A$2,INDEX(MOEX!$A$2:$A$100,MATCH(B7,MOEX!$A$2:$A$100,1)))</f>
        <v>0.75</v>
      </c>
      <c r="D7">
        <f>INDEX(MOEX!$B$2:$B$100,MATCH(C7,MOEX!$A$2:$A$100,0))</f>
        <v>13.42</v>
      </c>
      <c r="E7">
        <f>IF(B7&gt;=MAX(MOEX!$A$2:$A$100),MAX(MOEX!$A$2:$A$100),INDEX(MOEX!$A$2:$A$100,MATCH(B7,MOEX!$A$2:$A$100,1)+1))</f>
        <v>1</v>
      </c>
      <c r="F7">
        <f>INDEX(MOEX!$B$2:$B$100,MATCH(E7,MOEX!$A$2:$A$100,0))</f>
        <v>13.63</v>
      </c>
      <c r="G7">
        <f>IF(B7&lt;MIN(MOEX!$A$2:$A$100),INDEX(MOEX!$B$2:$B$100,1),IF(B7&gt;MAX(MOEX!$A$2:$A$100),INDEX(MOEX!$B$2:$B$100,COUNT(MOEX!$B$2:$B$100)),IF(COUNTIF(MOEX!$A$2:$A$100,B7)&gt;0,INDEX(MOEX!$B$2:$B$100,MATCH(B7,MOEX!$A$2:$A$100,0)),D7+(B7-C7)*(F7-D7)/(E7-C7))))</f>
        <v>13.525</v>
      </c>
      <c r="H7" t="str">
        <f>IF(OR(B7&lt;MIN(MOEX!$A$2:$A$100),B7&gt;MAX(MOEX!$A$2:$A$100)),"Ближайшее значение",IF(COUNTIF(MOEX!$A$2:$A$100,B7)&gt;0,"Точное совпадение","Интерполяция"))</f>
        <v>Интерполяция</v>
      </c>
      <c r="I7">
        <f t="shared" si="0"/>
        <v>17.525</v>
      </c>
      <c r="J7">
        <f t="shared" si="1"/>
        <v>9.525</v>
      </c>
      <c r="K7">
        <f t="shared" si="2"/>
        <v>11.4440406865501</v>
      </c>
      <c r="L7">
        <f t="shared" si="3"/>
        <v>16.3854309273966</v>
      </c>
      <c r="M7">
        <f t="shared" si="4"/>
        <v>17.5426128684453</v>
      </c>
      <c r="N7" s="5">
        <f t="shared" si="5"/>
        <v>9.5073871315547</v>
      </c>
    </row>
    <row r="8" spans="1:17">
      <c r="A8" s="4">
        <v>7</v>
      </c>
      <c r="B8">
        <v>1.25</v>
      </c>
      <c r="C8">
        <f>IF(B8&lt;MIN(MOEX!$A$2:$A$100),MOEX!$A$2,INDEX(MOEX!$A$2:$A$100,MATCH(B8,MOEX!$A$2:$A$100,1)))</f>
        <v>1</v>
      </c>
      <c r="D8">
        <f>INDEX(MOEX!$B$2:$B$100,MATCH(C8,MOEX!$A$2:$A$100,0))</f>
        <v>13.63</v>
      </c>
      <c r="E8">
        <f>IF(B8&gt;=MAX(MOEX!$A$2:$A$100),MAX(MOEX!$A$2:$A$100),INDEX(MOEX!$A$2:$A$100,MATCH(B8,MOEX!$A$2:$A$100,1)+1))</f>
        <v>2</v>
      </c>
      <c r="F8">
        <f>INDEX(MOEX!$B$2:$B$100,MATCH(E8,MOEX!$A$2:$A$100,0))</f>
        <v>14.58</v>
      </c>
      <c r="G8">
        <f>IF(B8&lt;MIN(MOEX!$A$2:$A$100),INDEX(MOEX!$B$2:$B$100,1),IF(B8&gt;MAX(MOEX!$A$2:$A$100),INDEX(MOEX!$B$2:$B$100,COUNT(MOEX!$B$2:$B$100)),IF(COUNTIF(MOEX!$A$2:$A$100,B8)&gt;0,INDEX(MOEX!$B$2:$B$100,MATCH(B8,MOEX!$A$2:$A$100,0)),D8+(B8-C8)*(F8-D8)/(E8-C8))))</f>
        <v>13.8675</v>
      </c>
      <c r="H8" t="str">
        <f>IF(OR(B8&lt;MIN(MOEX!$A$2:$A$100),B8&gt;MAX(MOEX!$A$2:$A$100)),"Ближайшее значение",IF(COUNTIF(MOEX!$A$2:$A$100,B8)&gt;0,"Точное совпадение","Интерполяция"))</f>
        <v>Интерполяция</v>
      </c>
      <c r="I8">
        <f t="shared" si="0"/>
        <v>17.8675</v>
      </c>
      <c r="J8">
        <f t="shared" si="1"/>
        <v>9.8675</v>
      </c>
      <c r="K8">
        <f t="shared" si="2"/>
        <v>12.2143870077675</v>
      </c>
      <c r="L8">
        <f t="shared" si="3"/>
        <v>16.3108706478905</v>
      </c>
      <c r="M8">
        <f t="shared" si="4"/>
        <v>17.5255781447332</v>
      </c>
      <c r="N8" s="5">
        <f t="shared" si="5"/>
        <v>10.2094218552668</v>
      </c>
    </row>
    <row r="9" spans="1:17">
      <c r="A9" s="4">
        <v>8</v>
      </c>
      <c r="B9">
        <v>1.75</v>
      </c>
      <c r="C9">
        <f>IF(B9&lt;MIN(MOEX!$A$2:$A$100),MOEX!$A$2,INDEX(MOEX!$A$2:$A$100,MATCH(B9,MOEX!$A$2:$A$100,1)))</f>
        <v>1</v>
      </c>
      <c r="D9">
        <f>INDEX(MOEX!$B$2:$B$100,MATCH(C9,MOEX!$A$2:$A$100,0))</f>
        <v>13.63</v>
      </c>
      <c r="E9">
        <f>IF(B9&gt;=MAX(MOEX!$A$2:$A$100),MAX(MOEX!$A$2:$A$100),INDEX(MOEX!$A$2:$A$100,MATCH(B9,MOEX!$A$2:$A$100,1)+1))</f>
        <v>2</v>
      </c>
      <c r="F9">
        <f>INDEX(MOEX!$B$2:$B$100,MATCH(E9,MOEX!$A$2:$A$100,0))</f>
        <v>14.58</v>
      </c>
      <c r="G9">
        <f>IF(B9&lt;MIN(MOEX!$A$2:$A$100),INDEX(MOEX!$B$2:$B$100,1),IF(B9&gt;MAX(MOEX!$A$2:$A$100),INDEX(MOEX!$B$2:$B$100,COUNT(MOEX!$B$2:$B$100)),IF(COUNTIF(MOEX!$A$2:$A$100,B9)&gt;0,INDEX(MOEX!$B$2:$B$100,MATCH(B9,MOEX!$A$2:$A$100,0)),D9+(B9-C9)*(F9-D9)/(E9-C9))))</f>
        <v>14.3425</v>
      </c>
      <c r="H9" t="str">
        <f>IF(OR(B9&lt;MIN(MOEX!$A$2:$A$100),B9&gt;MAX(MOEX!$A$2:$A$100)),"Ближайшее значение",IF(COUNTIF(MOEX!$A$2:$A$100,B9)&gt;0,"Точное совпадение","Интерполяция"))</f>
        <v>Интерполяция</v>
      </c>
      <c r="I9">
        <f t="shared" si="0"/>
        <v>18.3425</v>
      </c>
      <c r="J9">
        <f t="shared" si="1"/>
        <v>10.3425</v>
      </c>
      <c r="K9">
        <f t="shared" si="2"/>
        <v>13.200891267754</v>
      </c>
      <c r="L9">
        <f t="shared" si="3"/>
        <v>16.2872614532818</v>
      </c>
      <c r="M9">
        <f t="shared" si="4"/>
        <v>17.5707426321395</v>
      </c>
      <c r="N9" s="5">
        <f t="shared" si="5"/>
        <v>11.1142573678605</v>
      </c>
    </row>
    <row r="10" spans="1:17">
      <c r="A10" s="4">
        <v>9</v>
      </c>
      <c r="B10">
        <v>2.5</v>
      </c>
      <c r="C10">
        <f>IF(B10&lt;MIN(MOEX!$A$2:$A$100),MOEX!$A$2,INDEX(MOEX!$A$2:$A$100,MATCH(B10,MOEX!$A$2:$A$100,1)))</f>
        <v>2</v>
      </c>
      <c r="D10">
        <f>INDEX(MOEX!$B$2:$B$100,MATCH(C10,MOEX!$A$2:$A$100,0))</f>
        <v>14.58</v>
      </c>
      <c r="E10">
        <f>IF(B10&gt;=MAX(MOEX!$A$2:$A$100),MAX(MOEX!$A$2:$A$100),INDEX(MOEX!$A$2:$A$100,MATCH(B10,MOEX!$A$2:$A$100,1)+1))</f>
        <v>3</v>
      </c>
      <c r="F10">
        <f>INDEX(MOEX!$B$2:$B$100,MATCH(E10,MOEX!$A$2:$A$100,0))</f>
        <v>15.06</v>
      </c>
      <c r="G10">
        <f>IF(B10&lt;MIN(MOEX!$A$2:$A$100),INDEX(MOEX!$B$2:$B$100,1),IF(B10&gt;MAX(MOEX!$A$2:$A$100),INDEX(MOEX!$B$2:$B$100,COUNT(MOEX!$B$2:$B$100)),IF(COUNTIF(MOEX!$A$2:$A$100,B10)&gt;0,INDEX(MOEX!$B$2:$B$100,MATCH(B10,MOEX!$A$2:$A$100,0)),D10+(B10-C10)*(F10-D10)/(E10-C10))))</f>
        <v>14.82</v>
      </c>
      <c r="H10" t="str">
        <f>IF(OR(B10&lt;MIN(MOEX!$A$2:$A$100),B10&gt;MAX(MOEX!$A$2:$A$100)),"Ближайшее значение",IF(COUNTIF(MOEX!$A$2:$A$100,B10)&gt;0,"Точное совпадение","Интерполяция"))</f>
        <v>Интерполяция</v>
      </c>
      <c r="I10">
        <f t="shared" si="0"/>
        <v>18.82</v>
      </c>
      <c r="J10">
        <f t="shared" si="1"/>
        <v>10.82</v>
      </c>
      <c r="K10">
        <f t="shared" si="2"/>
        <v>14.335194500312</v>
      </c>
      <c r="L10">
        <f t="shared" si="3"/>
        <v>16.1245162854101</v>
      </c>
      <c r="M10">
        <f t="shared" si="4"/>
        <v>17.496307142595</v>
      </c>
      <c r="N10" s="5">
        <f t="shared" si="5"/>
        <v>12.143692857405</v>
      </c>
    </row>
    <row r="11" spans="1:17">
      <c r="A11" s="4">
        <v>10</v>
      </c>
      <c r="B11">
        <v>3.5</v>
      </c>
      <c r="C11">
        <f>IF(B11&lt;MIN(MOEX!$A$2:$A$100),MOEX!$A$2,INDEX(MOEX!$A$2:$A$100,MATCH(B11,MOEX!$A$2:$A$100,1)))</f>
        <v>3</v>
      </c>
      <c r="D11">
        <f>INDEX(MOEX!$B$2:$B$100,MATCH(C11,MOEX!$A$2:$A$100,0))</f>
        <v>15.06</v>
      </c>
      <c r="E11">
        <f>IF(B11&gt;=MAX(MOEX!$A$2:$A$100),MAX(MOEX!$A$2:$A$100),INDEX(MOEX!$A$2:$A$100,MATCH(B11,MOEX!$A$2:$A$100,1)+1))</f>
        <v>5</v>
      </c>
      <c r="F11">
        <f>INDEX(MOEX!$B$2:$B$100,MATCH(E11,MOEX!$A$2:$A$100,0))</f>
        <v>15.42</v>
      </c>
      <c r="G11">
        <f>IF(B11&lt;MIN(MOEX!$A$2:$A$100),INDEX(MOEX!$B$2:$B$100,1),IF(B11&gt;MAX(MOEX!$A$2:$A$100),INDEX(MOEX!$B$2:$B$100,COUNT(MOEX!$B$2:$B$100)),IF(COUNTIF(MOEX!$A$2:$A$100,B11)&gt;0,INDEX(MOEX!$B$2:$B$100,MATCH(B11,MOEX!$A$2:$A$100,0)),D11+(B11-C11)*(F11-D11)/(E11-C11))))</f>
        <v>15.15</v>
      </c>
      <c r="H11" t="str">
        <f>IF(OR(B11&lt;MIN(MOEX!$A$2:$A$100),B11&gt;MAX(MOEX!$A$2:$A$100)),"Ближайшее значение",IF(COUNTIF(MOEX!$A$2:$A$100,B11)&gt;0,"Точное совпадение","Интерполяция"))</f>
        <v>Интерполяция</v>
      </c>
      <c r="I11">
        <f t="shared" si="0"/>
        <v>19.15</v>
      </c>
      <c r="J11">
        <f t="shared" si="1"/>
        <v>11.15</v>
      </c>
      <c r="K11">
        <f t="shared" si="2"/>
        <v>15.3696709829129</v>
      </c>
      <c r="L11">
        <f t="shared" si="3"/>
        <v>15.7677997141353</v>
      </c>
      <c r="M11">
        <f t="shared" si="4"/>
        <v>17.2343100983925</v>
      </c>
      <c r="N11" s="5">
        <f t="shared" si="5"/>
        <v>13.0656899016075</v>
      </c>
    </row>
    <row r="12" spans="1:17">
      <c r="A12" s="4">
        <v>11</v>
      </c>
      <c r="B12">
        <v>4.5</v>
      </c>
      <c r="C12">
        <f>IF(B12&lt;MIN(MOEX!$A$2:$A$100),MOEX!$A$2,INDEX(MOEX!$A$2:$A$100,MATCH(B12,MOEX!$A$2:$A$100,1)))</f>
        <v>3</v>
      </c>
      <c r="D12">
        <f>INDEX(MOEX!$B$2:$B$100,MATCH(C12,MOEX!$A$2:$A$100,0))</f>
        <v>15.06</v>
      </c>
      <c r="E12">
        <f>IF(B12&gt;=MAX(MOEX!$A$2:$A$100),MAX(MOEX!$A$2:$A$100),INDEX(MOEX!$A$2:$A$100,MATCH(B12,MOEX!$A$2:$A$100,1)+1))</f>
        <v>5</v>
      </c>
      <c r="F12">
        <f>INDEX(MOEX!$B$2:$B$100,MATCH(E12,MOEX!$A$2:$A$100,0))</f>
        <v>15.42</v>
      </c>
      <c r="G12">
        <f>IF(B12&lt;MIN(MOEX!$A$2:$A$100),INDEX(MOEX!$B$2:$B$100,1),IF(B12&gt;MAX(MOEX!$A$2:$A$100),INDEX(MOEX!$B$2:$B$100,COUNT(MOEX!$B$2:$B$100)),IF(COUNTIF(MOEX!$A$2:$A$100,B12)&gt;0,INDEX(MOEX!$B$2:$B$100,MATCH(B12,MOEX!$A$2:$A$100,0)),D12+(B12-C12)*(F12-D12)/(E12-C12))))</f>
        <v>15.33</v>
      </c>
      <c r="H12" t="str">
        <f>IF(OR(B12&lt;MIN(MOEX!$A$2:$A$100),B12&gt;MAX(MOEX!$A$2:$A$100)),"Ближайшее значение",IF(COUNTIF(MOEX!$A$2:$A$100,B12)&gt;0,"Точное совпадение","Интерполяция"))</f>
        <v>Интерполяция</v>
      </c>
      <c r="I12">
        <f t="shared" si="0"/>
        <v>19.33</v>
      </c>
      <c r="J12">
        <f t="shared" si="1"/>
        <v>11.33</v>
      </c>
      <c r="K12">
        <f t="shared" si="2"/>
        <v>16.0983178192178</v>
      </c>
      <c r="L12">
        <f t="shared" si="3"/>
        <v>15.4129843106784</v>
      </c>
      <c r="M12">
        <f t="shared" si="4"/>
        <v>16.9532623367917</v>
      </c>
      <c r="N12" s="5">
        <f t="shared" si="5"/>
        <v>13.7067376632083</v>
      </c>
    </row>
    <row r="13" spans="1:17">
      <c r="A13" s="4">
        <v>12</v>
      </c>
      <c r="B13">
        <v>5.5</v>
      </c>
      <c r="C13">
        <f>IF(B13&lt;MIN(MOEX!$A$2:$A$100),MOEX!$A$2,INDEX(MOEX!$A$2:$A$100,MATCH(B13,MOEX!$A$2:$A$100,1)))</f>
        <v>5</v>
      </c>
      <c r="D13">
        <f>INDEX(MOEX!$B$2:$B$100,MATCH(C13,MOEX!$A$2:$A$100,0))</f>
        <v>15.42</v>
      </c>
      <c r="E13">
        <f>IF(B13&gt;=MAX(MOEX!$A$2:$A$100),MAX(MOEX!$A$2:$A$100),INDEX(MOEX!$A$2:$A$100,MATCH(B13,MOEX!$A$2:$A$100,1)+1))</f>
        <v>7</v>
      </c>
      <c r="F13">
        <f>INDEX(MOEX!$B$2:$B$100,MATCH(E13,MOEX!$A$2:$A$100,0))</f>
        <v>15.57</v>
      </c>
      <c r="G13">
        <f>IF(B13&lt;MIN(MOEX!$A$2:$A$100),INDEX(MOEX!$B$2:$B$100,1),IF(B13&gt;MAX(MOEX!$A$2:$A$100),INDEX(MOEX!$B$2:$B$100,COUNT(MOEX!$B$2:$B$100)),IF(COUNTIF(MOEX!$A$2:$A$100,B13)&gt;0,INDEX(MOEX!$B$2:$B$100,MATCH(B13,MOEX!$A$2:$A$100,0)),D13+(B13-C13)*(F13-D13)/(E13-C13))))</f>
        <v>15.4575</v>
      </c>
      <c r="H13" t="str">
        <f>IF(OR(B13&lt;MIN(MOEX!$A$2:$A$100),B13&gt;MAX(MOEX!$A$2:$A$100)),"Ближайшее значение",IF(COUNTIF(MOEX!$A$2:$A$100,B13)&gt;0,"Точное совпадение","Интерполяция"))</f>
        <v>Интерполяция</v>
      </c>
      <c r="I13">
        <f t="shared" si="0"/>
        <v>19.4575</v>
      </c>
      <c r="J13">
        <f t="shared" si="1"/>
        <v>11.4575</v>
      </c>
      <c r="K13">
        <f t="shared" si="2"/>
        <v>16.6531044049618</v>
      </c>
      <c r="L13">
        <f t="shared" si="3"/>
        <v>15.1239696556675</v>
      </c>
      <c r="M13">
        <f t="shared" si="4"/>
        <v>16.7216979790237</v>
      </c>
      <c r="N13" s="5">
        <f t="shared" si="5"/>
        <v>14.1933020209763</v>
      </c>
    </row>
    <row r="14" spans="1:17">
      <c r="A14" s="4">
        <v>13</v>
      </c>
      <c r="B14">
        <v>6.5</v>
      </c>
      <c r="C14">
        <f>IF(B14&lt;MIN(MOEX!$A$2:$A$100),MOEX!$A$2,INDEX(MOEX!$A$2:$A$100,MATCH(B14,MOEX!$A$2:$A$100,1)))</f>
        <v>5</v>
      </c>
      <c r="D14">
        <f>INDEX(MOEX!$B$2:$B$100,MATCH(C14,MOEX!$A$2:$A$100,0))</f>
        <v>15.42</v>
      </c>
      <c r="E14">
        <f>IF(B14&gt;=MAX(MOEX!$A$2:$A$100),MAX(MOEX!$A$2:$A$100),INDEX(MOEX!$A$2:$A$100,MATCH(B14,MOEX!$A$2:$A$100,1)+1))</f>
        <v>7</v>
      </c>
      <c r="F14">
        <f>INDEX(MOEX!$B$2:$B$100,MATCH(E14,MOEX!$A$2:$A$100,0))</f>
        <v>15.57</v>
      </c>
      <c r="G14">
        <f>IF(B14&lt;MIN(MOEX!$A$2:$A$100),INDEX(MOEX!$B$2:$B$100,1),IF(B14&gt;MAX(MOEX!$A$2:$A$100),INDEX(MOEX!$B$2:$B$100,COUNT(MOEX!$B$2:$B$100)),IF(COUNTIF(MOEX!$A$2:$A$100,B14)&gt;0,INDEX(MOEX!$B$2:$B$100,MATCH(B14,MOEX!$A$2:$A$100,0)),D14+(B14-C14)*(F14-D14)/(E14-C14))))</f>
        <v>15.5325</v>
      </c>
      <c r="H14" t="str">
        <f>IF(OR(B14&lt;MIN(MOEX!$A$2:$A$100),B14&gt;MAX(MOEX!$A$2:$A$100)),"Ближайшее значение",IF(COUNTIF(MOEX!$A$2:$A$100,B14)&gt;0,"Точное совпадение","Интерполяция"))</f>
        <v>Интерполяция</v>
      </c>
      <c r="I14">
        <f t="shared" si="0"/>
        <v>19.5325</v>
      </c>
      <c r="J14">
        <f t="shared" si="1"/>
        <v>11.5325</v>
      </c>
      <c r="K14">
        <f t="shared" si="2"/>
        <v>17.060875532535</v>
      </c>
      <c r="L14">
        <f t="shared" si="3"/>
        <v>14.8745877161843</v>
      </c>
      <c r="M14">
        <f t="shared" si="4"/>
        <v>16.517058376021</v>
      </c>
      <c r="N14" s="5">
        <f t="shared" si="5"/>
        <v>14.547941623979</v>
      </c>
    </row>
    <row r="15" spans="1:17">
      <c r="A15" s="4">
        <v>14</v>
      </c>
      <c r="B15">
        <v>7.5</v>
      </c>
      <c r="C15">
        <f>IF(B15&lt;MIN(MOEX!$A$2:$A$100),MOEX!$A$2,INDEX(MOEX!$A$2:$A$100,MATCH(B15,MOEX!$A$2:$A$100,1)))</f>
        <v>7</v>
      </c>
      <c r="D15">
        <f>INDEX(MOEX!$B$2:$B$100,MATCH(C15,MOEX!$A$2:$A$100,0))</f>
        <v>15.57</v>
      </c>
      <c r="E15">
        <f>IF(B15&gt;=MAX(MOEX!$A$2:$A$100),MAX(MOEX!$A$2:$A$100),INDEX(MOEX!$A$2:$A$100,MATCH(B15,MOEX!$A$2:$A$100,1)+1))</f>
        <v>10</v>
      </c>
      <c r="F15">
        <f>INDEX(MOEX!$B$2:$B$100,MATCH(E15,MOEX!$A$2:$A$100,0))</f>
        <v>15.69</v>
      </c>
      <c r="G15">
        <f>IF(B15&lt;MIN(MOEX!$A$2:$A$100),INDEX(MOEX!$B$2:$B$100,1),IF(B15&gt;MAX(MOEX!$A$2:$A$100),INDEX(MOEX!$B$2:$B$100,COUNT(MOEX!$B$2:$B$100)),IF(COUNTIF(MOEX!$A$2:$A$100,B15)&gt;0,INDEX(MOEX!$B$2:$B$100,MATCH(B15,MOEX!$A$2:$A$100,0)),D15+(B15-C15)*(F15-D15)/(E15-C15))))</f>
        <v>15.59</v>
      </c>
      <c r="H15" t="str">
        <f>IF(OR(B15&lt;MIN(MOEX!$A$2:$A$100),B15&gt;MAX(MOEX!$A$2:$A$100)),"Ближайшее значение",IF(COUNTIF(MOEX!$A$2:$A$100,B15)&gt;0,"Точное совпадение","Интерполяция"))</f>
        <v>Интерполяция</v>
      </c>
      <c r="I15">
        <f t="shared" si="0"/>
        <v>19.59</v>
      </c>
      <c r="J15">
        <f t="shared" si="1"/>
        <v>11.59</v>
      </c>
      <c r="K15">
        <f t="shared" si="2"/>
        <v>17.3775379472727</v>
      </c>
      <c r="L15">
        <f t="shared" si="3"/>
        <v>14.6794588077006</v>
      </c>
      <c r="M15">
        <f t="shared" si="4"/>
        <v>16.3567748342246</v>
      </c>
      <c r="N15" s="5">
        <f t="shared" si="5"/>
        <v>14.8232251657754</v>
      </c>
    </row>
    <row r="16" spans="1:17">
      <c r="A16" s="4">
        <v>15</v>
      </c>
      <c r="B16">
        <v>8.5</v>
      </c>
      <c r="C16">
        <f>IF(B16&lt;MIN(MOEX!$A$2:$A$100),MOEX!$A$2,INDEX(MOEX!$A$2:$A$100,MATCH(B16,MOEX!$A$2:$A$100,1)))</f>
        <v>7</v>
      </c>
      <c r="D16">
        <f>INDEX(MOEX!$B$2:$B$100,MATCH(C16,MOEX!$A$2:$A$100,0))</f>
        <v>15.57</v>
      </c>
      <c r="E16">
        <f>IF(B16&gt;=MAX(MOEX!$A$2:$A$100),MAX(MOEX!$A$2:$A$100),INDEX(MOEX!$A$2:$A$100,MATCH(B16,MOEX!$A$2:$A$100,1)+1))</f>
        <v>10</v>
      </c>
      <c r="F16">
        <f>INDEX(MOEX!$B$2:$B$100,MATCH(E16,MOEX!$A$2:$A$100,0))</f>
        <v>15.69</v>
      </c>
      <c r="G16">
        <f>IF(B16&lt;MIN(MOEX!$A$2:$A$100),INDEX(MOEX!$B$2:$B$100,1),IF(B16&gt;MAX(MOEX!$A$2:$A$100),INDEX(MOEX!$B$2:$B$100,COUNT(MOEX!$B$2:$B$100)),IF(COUNTIF(MOEX!$A$2:$A$100,B16)&gt;0,INDEX(MOEX!$B$2:$B$100,MATCH(B16,MOEX!$A$2:$A$100,0)),D16+(B16-C16)*(F16-D16)/(E16-C16))))</f>
        <v>15.63</v>
      </c>
      <c r="H16" t="str">
        <f>IF(OR(B16&lt;MIN(MOEX!$A$2:$A$100),B16&gt;MAX(MOEX!$A$2:$A$100)),"Ближайшее значение",IF(COUNTIF(MOEX!$A$2:$A$100,B16)&gt;0,"Точное совпадение","Интерполяция"))</f>
        <v>Интерполяция</v>
      </c>
      <c r="I16">
        <f t="shared" si="0"/>
        <v>19.63</v>
      </c>
      <c r="J16">
        <f t="shared" si="1"/>
        <v>11.63</v>
      </c>
      <c r="K16">
        <f t="shared" si="2"/>
        <v>17.619373838813</v>
      </c>
      <c r="L16">
        <f t="shared" si="3"/>
        <v>14.522711215947</v>
      </c>
      <c r="M16">
        <f t="shared" si="4"/>
        <v>16.2271648413336</v>
      </c>
      <c r="N16" s="5">
        <f t="shared" si="5"/>
        <v>15.0328351586664</v>
      </c>
    </row>
    <row r="17" spans="1:14">
      <c r="A17" s="4">
        <v>16</v>
      </c>
      <c r="B17">
        <v>9.5</v>
      </c>
      <c r="C17">
        <f>IF(B17&lt;MIN(MOEX!$A$2:$A$100),MOEX!$A$2,INDEX(MOEX!$A$2:$A$100,MATCH(B17,MOEX!$A$2:$A$100,1)))</f>
        <v>7</v>
      </c>
      <c r="D17">
        <f>INDEX(MOEX!$B$2:$B$100,MATCH(C17,MOEX!$A$2:$A$100,0))</f>
        <v>15.57</v>
      </c>
      <c r="E17">
        <f>IF(B17&gt;=MAX(MOEX!$A$2:$A$100),MAX(MOEX!$A$2:$A$100),INDEX(MOEX!$A$2:$A$100,MATCH(B17,MOEX!$A$2:$A$100,1)+1))</f>
        <v>10</v>
      </c>
      <c r="F17">
        <f>INDEX(MOEX!$B$2:$B$100,MATCH(E17,MOEX!$A$2:$A$100,0))</f>
        <v>15.69</v>
      </c>
      <c r="G17">
        <f>IF(B17&lt;MIN(MOEX!$A$2:$A$100),INDEX(MOEX!$B$2:$B$100,1),IF(B17&gt;MAX(MOEX!$A$2:$A$100),INDEX(MOEX!$B$2:$B$100,COUNT(MOEX!$B$2:$B$100)),IF(COUNTIF(MOEX!$A$2:$A$100,B17)&gt;0,INDEX(MOEX!$B$2:$B$100,MATCH(B17,MOEX!$A$2:$A$100,0)),D17+(B17-C17)*(F17-D17)/(E17-C17))))</f>
        <v>15.67</v>
      </c>
      <c r="H17" t="str">
        <f>IF(OR(B17&lt;MIN(MOEX!$A$2:$A$100),B17&gt;MAX(MOEX!$A$2:$A$100)),"Ближайшее значение",IF(COUNTIF(MOEX!$A$2:$A$100,B17)&gt;0,"Точное совпадение","Интерполяция"))</f>
        <v>Интерполяция</v>
      </c>
      <c r="I17">
        <f t="shared" si="0"/>
        <v>19.67</v>
      </c>
      <c r="J17">
        <f t="shared" si="1"/>
        <v>11.67</v>
      </c>
      <c r="K17">
        <f t="shared" si="2"/>
        <v>17.8165637891966</v>
      </c>
      <c r="L17">
        <f t="shared" si="3"/>
        <v>14.4094840374218</v>
      </c>
      <c r="M17">
        <f t="shared" si="4"/>
        <v>16.1350724460533</v>
      </c>
      <c r="N17" s="5">
        <f t="shared" si="5"/>
        <v>15.2049275539467</v>
      </c>
    </row>
    <row r="18" spans="1:14">
      <c r="A18" s="4">
        <v>17</v>
      </c>
      <c r="B18">
        <v>12.5</v>
      </c>
      <c r="C18">
        <f>IF(B18&lt;MIN(MOEX!$A$2:$A$100),MOEX!$A$2,INDEX(MOEX!$A$2:$A$100,MATCH(B18,MOEX!$A$2:$A$100,1)))</f>
        <v>10</v>
      </c>
      <c r="D18">
        <f>INDEX(MOEX!$B$2:$B$100,MATCH(C18,MOEX!$A$2:$A$100,0))</f>
        <v>15.69</v>
      </c>
      <c r="E18">
        <f>IF(B18&gt;=MAX(MOEX!$A$2:$A$100),MAX(MOEX!$A$2:$A$100),INDEX(MOEX!$A$2:$A$100,MATCH(B18,MOEX!$A$2:$A$100,1)+1))</f>
        <v>15</v>
      </c>
      <c r="F18">
        <f>INDEX(MOEX!$B$2:$B$100,MATCH(E18,MOEX!$A$2:$A$100,0))</f>
        <v>15.84</v>
      </c>
      <c r="G18">
        <f>IF(B18&lt;MIN(MOEX!$A$2:$A$100),INDEX(MOEX!$B$2:$B$100,1),IF(B18&gt;MAX(MOEX!$A$2:$A$100),INDEX(MOEX!$B$2:$B$100,COUNT(MOEX!$B$2:$B$100)),IF(COUNTIF(MOEX!$A$2:$A$100,B18)&gt;0,INDEX(MOEX!$B$2:$B$100,MATCH(B18,MOEX!$A$2:$A$100,0)),D18+(B18-C18)*(F18-D18)/(E18-C18))))</f>
        <v>15.765</v>
      </c>
      <c r="H18" t="str">
        <f>IF(OR(B18&lt;MIN(MOEX!$A$2:$A$100),B18&gt;MAX(MOEX!$A$2:$A$100)),"Ближайшее значение",IF(COUNTIF(MOEX!$A$2:$A$100,B18)&gt;0,"Точное совпадение","Интерполяция"))</f>
        <v>Интерполяция</v>
      </c>
      <c r="I18">
        <f t="shared" si="0"/>
        <v>19.765</v>
      </c>
      <c r="J18">
        <f t="shared" si="1"/>
        <v>11.765</v>
      </c>
      <c r="K18">
        <f t="shared" si="2"/>
        <v>18.2035752449407</v>
      </c>
      <c r="L18">
        <f t="shared" si="3"/>
        <v>14.2198342150158</v>
      </c>
      <c r="M18">
        <f t="shared" si="4"/>
        <v>15.984684668117</v>
      </c>
      <c r="N18" s="5">
        <f t="shared" si="5"/>
        <v>15.545315331883</v>
      </c>
    </row>
    <row r="19" spans="1:14">
      <c r="A19" s="4">
        <v>18</v>
      </c>
      <c r="B19">
        <v>17.5</v>
      </c>
      <c r="C19">
        <f>IF(B19&lt;MIN(MOEX!$A$2:$A$100),MOEX!$A$2,INDEX(MOEX!$A$2:$A$100,MATCH(B19,MOEX!$A$2:$A$100,1)))</f>
        <v>15</v>
      </c>
      <c r="D19">
        <f>INDEX(MOEX!$B$2:$B$100,MATCH(C19,MOEX!$A$2:$A$100,0))</f>
        <v>15.84</v>
      </c>
      <c r="E19">
        <f>IF(B19&gt;=MAX(MOEX!$A$2:$A$100),MAX(MOEX!$A$2:$A$100),INDEX(MOEX!$A$2:$A$100,MATCH(B19,MOEX!$A$2:$A$100,1)+1))</f>
        <v>20</v>
      </c>
      <c r="F19">
        <f>INDEX(MOEX!$B$2:$B$100,MATCH(E19,MOEX!$A$2:$A$100,0))</f>
        <v>15.95</v>
      </c>
      <c r="G19">
        <f>IF(B19&lt;MIN(MOEX!$A$2:$A$100),INDEX(MOEX!$B$2:$B$100,1),IF(B19&gt;MAX(MOEX!$A$2:$A$100),INDEX(MOEX!$B$2:$B$100,COUNT(MOEX!$B$2:$B$100)),IF(COUNTIF(MOEX!$A$2:$A$100,B19)&gt;0,INDEX(MOEX!$B$2:$B$100,MATCH(B19,MOEX!$A$2:$A$100,0)),D19+(B19-C19)*(F19-D19)/(E19-C19))))</f>
        <v>15.895</v>
      </c>
      <c r="H19" t="str">
        <f>IF(OR(B19&lt;MIN(MOEX!$A$2:$A$100),B19&gt;MAX(MOEX!$A$2:$A$100)),"Ближайшее значение",IF(COUNTIF(MOEX!$A$2:$A$100,B19)&gt;0,"Точное совпадение","Интерполяция"))</f>
        <v>Интерполяция</v>
      </c>
      <c r="I19">
        <f t="shared" si="0"/>
        <v>19.895</v>
      </c>
      <c r="J19">
        <f t="shared" si="1"/>
        <v>11.895</v>
      </c>
      <c r="K19">
        <f t="shared" si="2"/>
        <v>18.5201005536575</v>
      </c>
      <c r="L19">
        <f t="shared" si="3"/>
        <v>14.1680112250061</v>
      </c>
      <c r="M19">
        <f t="shared" si="4"/>
        <v>15.9579407112122</v>
      </c>
      <c r="N19" s="5">
        <f t="shared" si="5"/>
        <v>15.8320592887878</v>
      </c>
    </row>
    <row r="20" spans="1:14">
      <c r="A20" s="10">
        <v>19</v>
      </c>
      <c r="B20" s="11">
        <v>25</v>
      </c>
      <c r="C20" s="11">
        <f>IF(B20&lt;MIN(MOEX!$A$2:$A$100),MOEX!$A$2,INDEX(MOEX!$A$2:$A$100,MATCH(B20,MOEX!$A$2:$A$100,1)))</f>
        <v>20</v>
      </c>
      <c r="D20" s="11">
        <f>INDEX(MOEX!$B$2:$B$100,MATCH(C20,MOEX!$A$2:$A$100,0))</f>
        <v>15.95</v>
      </c>
      <c r="E20" s="11">
        <f>IF(B20&gt;=MAX(MOEX!$A$2:$A$100),MAX(MOEX!$A$2:$A$100),INDEX(MOEX!$A$2:$A$100,MATCH(B20,MOEX!$A$2:$A$100,1)+1))</f>
        <v>30</v>
      </c>
      <c r="F20" s="11">
        <f>INDEX(MOEX!$B$2:$B$100,MATCH(E20,MOEX!$A$2:$A$100,0))</f>
        <v>16.1</v>
      </c>
      <c r="G20" s="11">
        <f>IF(B20&lt;MIN(MOEX!$A$2:$A$100),INDEX(MOEX!$B$2:$B$100,1),IF(B20&gt;MAX(MOEX!$A$2:$A$100),INDEX(MOEX!$B$2:$B$100,COUNT(MOEX!$B$2:$B$100)),IF(COUNTIF(MOEX!$A$2:$A$100,B20)&gt;0,INDEX(MOEX!$B$2:$B$100,MATCH(B20,MOEX!$A$2:$A$100,0)),D20+(B20-C20)*(F20-D20)/(E20-C20))))</f>
        <v>16.025</v>
      </c>
      <c r="H20" s="11" t="str">
        <f>IF(OR(B20&lt;MIN(MOEX!$A$2:$A$100),B20&gt;MAX(MOEX!$A$2:$A$100)),"Ближайшее значение",IF(COUNTIF(MOEX!$A$2:$A$100,B20)&gt;0,"Точное совпадение","Интерполяция"))</f>
        <v>Интерполяция</v>
      </c>
      <c r="I20" s="11">
        <f t="shared" si="0"/>
        <v>20.025</v>
      </c>
      <c r="J20" s="11">
        <f t="shared" si="1"/>
        <v>12.025</v>
      </c>
      <c r="K20" s="11">
        <f t="shared" si="2"/>
        <v>18.7135137978894</v>
      </c>
      <c r="L20" s="11">
        <f t="shared" si="3"/>
        <v>14.2361966339901</v>
      </c>
      <c r="M20" s="11">
        <f t="shared" si="4"/>
        <v>16.0346522706811</v>
      </c>
      <c r="N20" s="12">
        <f t="shared" si="5"/>
        <v>16.0153477293189</v>
      </c>
    </row>
  </sheetData>
  <conditionalFormatting sqref="H2:H20">
    <cfRule type="cellIs" dxfId="0" priority="2" operator="equal">
      <formula>"Базовое Значение"</formula>
    </cfRule>
    <cfRule type="cellIs" dxfId="1" priority="3" operator="equal">
      <formula>"Интерполяция"</formula>
    </cfRule>
    <cfRule type="cellIs" dxfId="2" priority="4" operator="equal">
      <formula>"Экстраполяция"</formula>
    </cfRule>
  </conditionalFormatting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MOEX</vt:lpstr>
      <vt:lpstr>базовая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Mihail Sleptsov</cp:lastModifiedBy>
  <cp:revision>2</cp:revision>
  <dcterms:created xsi:type="dcterms:W3CDTF">2026-10-08T19:07:00Z</dcterms:created>
  <dcterms:modified xsi:type="dcterms:W3CDTF">2026-10-09T18:26:44Z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EC4F919503AC4FAC8C49AD233A4DE3A0_13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